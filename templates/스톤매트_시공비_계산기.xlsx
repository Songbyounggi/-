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공비 계산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<sst xmlns="http://schemas.openxmlformats.org/spreadsheetml/2006/main" count="35" uniqueCount="34">
  <si>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돌계단 스톤매트 설치 시공비 계산기</t>
  </si>
  <si>
    <r>
      <rPr>
        <i val="true"/>
        <sz val="11"/>
        <color rgb="FF595959"/>
        <rFont val="맑은 고딕"/>
        <family val="0"/>
        <charset val="1"/>
      </rPr>
      <t xml:space="preserve">(</t>
    </r>
    <r>
      <rPr>
        <i val="true"/>
        <sz val="11"/>
        <color rgb="FF595959"/>
        <rFont val="WenQuanYi Zen Hei"/>
        <family val="2"/>
      </rPr>
      <t xml:space="preserve">자재비 제외 </t>
    </r>
    <r>
      <rPr>
        <i val="true"/>
        <sz val="11"/>
        <color rgb="FF595959"/>
        <rFont val="맑은 고딕"/>
        <family val="0"/>
        <charset val="1"/>
      </rPr>
      <t xml:space="preserve">· </t>
    </r>
    <r>
      <rPr>
        <i val="true"/>
        <sz val="11"/>
        <color rgb="FF595959"/>
        <rFont val="WenQuanYi Zen Hei"/>
        <family val="2"/>
      </rPr>
      <t xml:space="preserve">노무비</t>
    </r>
    <r>
      <rPr>
        <i val="true"/>
        <sz val="11"/>
        <color rgb="FF595959"/>
        <rFont val="맑은 고딕"/>
        <family val="0"/>
        <charset val="1"/>
      </rPr>
      <t xml:space="preserve">+</t>
    </r>
    <r>
      <rPr>
        <i val="true"/>
        <sz val="11"/>
        <color rgb="FF595959"/>
        <rFont val="WenQuanYi Zen Hei"/>
        <family val="2"/>
      </rPr>
      <t xml:space="preserve">장비비 기준</t>
    </r>
    <r>
      <rPr>
        <i val="true"/>
        <sz val="11"/>
        <color rgb="FF595959"/>
        <rFont val="맑은 고딕"/>
        <family val="0"/>
        <charset val="1"/>
      </rPr>
      <t xml:space="preserve">, </t>
    </r>
    <r>
      <rPr>
        <i val="true"/>
        <sz val="11"/>
        <color rgb="FF595959"/>
        <rFont val="WenQuanYi Zen Hei"/>
        <family val="2"/>
      </rPr>
      <t xml:space="preserve">품셈식 개산 산출</t>
    </r>
    <r>
      <rPr>
        <i val="true"/>
        <sz val="11"/>
        <color rgb="FF595959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</si>
  <si>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자재 규격</t>
    </r>
  </si>
  <si>
    <r>
      <rPr>
        <b val="true"/>
        <sz val="10"/>
        <rFont val="WenQuanYi Zen Hei"/>
        <family val="2"/>
      </rPr>
      <t xml:space="preserve">가로</t>
    </r>
    <r>
      <rPr>
        <b val="true"/>
        <sz val="10"/>
        <rFont val="맑은 고딕"/>
        <family val="0"/>
        <charset val="1"/>
      </rPr>
      <t xml:space="preserve">(mm)</t>
    </r>
  </si>
  <si>
    <r>
      <rPr>
        <b val="true"/>
        <sz val="10"/>
        <rFont val="WenQuanYi Zen Hei"/>
        <family val="2"/>
      </rPr>
      <t xml:space="preserve">세로</t>
    </r>
    <r>
      <rPr>
        <b val="true"/>
        <sz val="10"/>
        <rFont val="맑은 고딕"/>
        <family val="0"/>
        <charset val="1"/>
      </rPr>
      <t xml:space="preserve">(mm)</t>
    </r>
  </si>
  <si>
    <r>
      <rPr>
        <b val="true"/>
        <sz val="10"/>
        <rFont val="WenQuanYi Zen Hei"/>
        <family val="2"/>
      </rPr>
      <t xml:space="preserve">두께</t>
    </r>
    <r>
      <rPr>
        <b val="true"/>
        <sz val="10"/>
        <rFont val="맑은 고딕"/>
        <family val="0"/>
        <charset val="1"/>
      </rPr>
      <t xml:space="preserve">(mm)</t>
    </r>
  </si>
  <si>
    <r>
      <rPr>
        <b val="true"/>
        <sz val="10"/>
        <rFont val="WenQuanYi Zen Hei"/>
        <family val="2"/>
      </rPr>
      <t xml:space="preserve">화강석 비중</t>
    </r>
    <r>
      <rPr>
        <b val="true"/>
        <sz val="10"/>
        <rFont val="맑은 고딕"/>
        <family val="0"/>
        <charset val="1"/>
      </rPr>
      <t xml:space="preserve">(t/</t>
    </r>
    <r>
      <rPr>
        <b val="true"/>
        <sz val="10"/>
        <rFont val="WenQuanYi Zen Hei"/>
        <family val="2"/>
      </rPr>
      <t xml:space="preserve">㎥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</si>
  <si>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매 면적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㎡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</si>
  <si>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매 부피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㎥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</si>
  <si>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매 중량</t>
    </r>
    <r>
      <rPr>
        <b val="true"/>
        <sz val="10"/>
        <rFont val="맑은 고딕"/>
        <family val="0"/>
        <charset val="1"/>
      </rPr>
      <t xml:space="preserve">(kg)</t>
    </r>
  </si>
  <si>
    <t xml:space="preserve">인력시공 가능 여부</t>
  </si>
  <si>
    <r>
      <rPr>
        <b val="true"/>
        <sz val="11"/>
        <rFont val="맑은 고딕"/>
        <family val="0"/>
        <charset val="1"/>
      </rPr>
      <t xml:space="preserve">2. 1</t>
    </r>
    <r>
      <rPr>
        <b val="true"/>
        <sz val="11"/>
        <rFont val="WenQuanYi Zen Hei"/>
        <family val="2"/>
      </rPr>
      <t xml:space="preserve">일 투입 비용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노무비 </t>
    </r>
    <r>
      <rPr>
        <b val="true"/>
        <sz val="11"/>
        <rFont val="맑은 고딕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장비비</t>
    </r>
    <r>
      <rPr>
        <b val="true"/>
        <sz val="11"/>
        <rFont val="맑은 고딕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자재비 제외</t>
    </r>
    <r>
      <rPr>
        <b val="true"/>
        <sz val="11"/>
        <rFont val="맑은 고딕"/>
        <family val="0"/>
        <charset val="1"/>
      </rPr>
      <t xml:space="preserve">)</t>
    </r>
  </si>
  <si>
    <t xml:space="preserve">투입 항목</t>
  </si>
  <si>
    <r>
      <rPr>
        <b val="true"/>
        <sz val="10"/>
        <rFont val="WenQuanYi Zen Hei"/>
        <family val="2"/>
      </rPr>
      <t xml:space="preserve">단가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</si>
  <si>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투입 수량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인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대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</si>
  <si>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일</t>
    </r>
    <r>
      <rPr>
        <b val="true"/>
        <sz val="10"/>
        <rFont val="맑은 고딕"/>
        <family val="0"/>
        <charset val="1"/>
      </rPr>
      <t xml:space="preserve">)</t>
    </r>
  </si>
  <si>
    <t xml:space="preserve">비고</t>
  </si>
  <si>
    <r>
      <rPr>
        <sz val="10"/>
        <rFont val="WenQuanYi Zen Hei"/>
        <family val="2"/>
      </rPr>
      <t xml:space="preserve">장비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굴삭기 </t>
    </r>
    <r>
      <rPr>
        <sz val="10"/>
        <rFont val="맑은 고딕"/>
        <family val="0"/>
        <charset val="1"/>
      </rPr>
      <t xml:space="preserve">0.4~0.6</t>
    </r>
    <r>
      <rPr>
        <sz val="10"/>
        <rFont val="WenQuanYi Zen Hei"/>
        <family val="2"/>
      </rPr>
      <t xml:space="preserve">㎥급 등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</si>
  <si>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808080"/>
        <rFont val="맑은 고딕"/>
        <family val="0"/>
        <charset val="1"/>
      </rPr>
      <t xml:space="preserve">1</t>
    </r>
    <r>
      <rPr>
        <i val="true"/>
        <sz val="9"/>
        <color rgb="FF808080"/>
        <rFont val="WenQuanYi Zen Hei"/>
        <family val="2"/>
      </rPr>
      <t xml:space="preserve">일 임대료</t>
    </r>
    <r>
      <rPr>
        <i val="true"/>
        <sz val="9"/>
        <color rgb="FF808080"/>
        <rFont val="맑은 고딕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운전원 포함</t>
    </r>
    <r>
      <rPr>
        <i val="true"/>
        <sz val="9"/>
        <color rgb="FF808080"/>
        <rFont val="맑은 고딕"/>
        <family val="0"/>
        <charset val="1"/>
      </rPr>
      <t xml:space="preserve">) - </t>
    </r>
    <r>
      <rPr>
        <i val="true"/>
        <sz val="9"/>
        <color rgb="FF808080"/>
        <rFont val="WenQuanYi Zen Hei"/>
        <family val="2"/>
      </rPr>
      <t xml:space="preserve">직접 입력</t>
    </r>
  </si>
  <si>
    <r>
      <rPr>
        <sz val="10"/>
        <rFont val="WenQuanYi Zen Hei"/>
        <family val="2"/>
      </rPr>
      <t xml:space="preserve">특별인부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석공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</si>
  <si>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줄눈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수평 맞춤 </t>
    </r>
    <r>
      <rPr>
        <i val="true"/>
        <sz val="9"/>
        <color rgb="FF808080"/>
        <rFont val="맑은 고딕"/>
        <family val="0"/>
        <charset val="1"/>
      </rPr>
      <t xml:space="preserve">- </t>
    </r>
    <r>
      <rPr>
        <i val="true"/>
        <sz val="9"/>
        <color rgb="FF808080"/>
        <rFont val="WenQuanYi Zen Hei"/>
        <family val="2"/>
      </rPr>
      <t xml:space="preserve">노임단가는 시중노임단가 참고</t>
    </r>
  </si>
  <si>
    <t xml:space="preserve">보통인부</t>
  </si>
  <si>
    <r>
      <rPr>
        <i val="true"/>
        <sz val="9"/>
        <color rgb="FF808080"/>
        <rFont val="WenQuanYi Zen Hei"/>
        <family val="2"/>
      </rPr>
      <t xml:space="preserve">고임목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다짐 보조</t>
    </r>
  </si>
  <si>
    <r>
      <rPr>
        <b val="true"/>
        <sz val="11"/>
        <rFont val="맑은 고딕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일 총 투입비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노무비</t>
    </r>
    <r>
      <rPr>
        <b val="true"/>
        <sz val="11"/>
        <rFont val="맑은 고딕"/>
        <family val="0"/>
        <charset val="1"/>
      </rPr>
      <t xml:space="preserve">+</t>
    </r>
    <r>
      <rPr>
        <b val="true"/>
        <sz val="11"/>
        <rFont val="WenQuanYi Zen Hei"/>
        <family val="2"/>
      </rPr>
      <t xml:space="preserve">장비비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</si>
  <si>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3. 1</t>
    </r>
    <r>
      <rPr>
        <b val="true"/>
        <sz val="11"/>
        <rFont val="WenQuanYi Zen Hei"/>
        <family val="2"/>
      </rPr>
      <t xml:space="preserve">일 시공량 및 ㎡당 시공비 산출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</si>
  <si>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시공 가능 수량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</si>
  <si>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시공 면적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㎡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</si>
  <si>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3"/>
        <color rgb="FFFFFFFF"/>
        <rFont val="WenQuanYi Zen Hei"/>
        <family val="2"/>
      </rPr>
      <t xml:space="preserve">㎡당 시공비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WenQuanYi Zen Hei"/>
        <family val="2"/>
      </rPr>
      <t xml:space="preserve">자재 제외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</si>
  <si>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매</t>
    </r>
    <r>
      <rPr>
        <b val="true"/>
        <sz val="10"/>
        <rFont val="맑은 고딕"/>
        <family val="0"/>
        <charset val="1"/>
      </rPr>
      <t xml:space="preserve">(1000×1000mm)</t>
    </r>
    <r>
      <rPr>
        <b val="true"/>
        <sz val="10"/>
        <rFont val="WenQuanYi Zen Hei"/>
        <family val="2"/>
      </rPr>
      <t xml:space="preserve">당 시공비</t>
    </r>
  </si>
  <si>
    <r>
      <rPr>
        <b val="true"/>
        <sz val="11"/>
        <rFont val="맑은 고딕"/>
        <family val="0"/>
        <charset val="1"/>
      </rPr>
      <t xml:space="preserve">4. 1</t>
    </r>
    <r>
      <rPr>
        <b val="true"/>
        <sz val="11"/>
        <rFont val="WenQuanYi Zen Hei"/>
        <family val="2"/>
      </rPr>
      <t xml:space="preserve">일 시공량별 민감도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㎡당 시공비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</si>
  <si>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시공량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</si>
  <si>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시공면적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㎡</t>
    </r>
    <r>
      <rPr>
        <b val="true"/>
        <sz val="10"/>
        <rFont val="맑은 고딕"/>
        <family val="0"/>
        <charset val="1"/>
      </rPr>
      <t xml:space="preserve">)</t>
    </r>
  </si>
  <si>
    <t xml:space="preserve">㎡당 시공비</t>
  </si>
  <si>
    <r>
      <rPr>
        <i val="true"/>
        <sz val="9"/>
        <color rgb="FF808080"/>
        <rFont val="WenQuanYi Zen Hei"/>
        <family val="2"/>
      </rPr>
      <t xml:space="preserve">※ 본 계산기는 초대형</t>
    </r>
    <r>
      <rPr>
        <i val="true"/>
        <sz val="9"/>
        <color rgb="FF808080"/>
        <rFont val="맑은 고딕"/>
        <family val="0"/>
        <charset val="1"/>
      </rPr>
      <t xml:space="preserve">(300mm </t>
    </r>
    <r>
      <rPr>
        <i val="true"/>
        <sz val="9"/>
        <color rgb="FF808080"/>
        <rFont val="WenQuanYi Zen Hei"/>
        <family val="2"/>
      </rPr>
      <t xml:space="preserve">두께</t>
    </r>
    <r>
      <rPr>
        <i val="true"/>
        <sz val="9"/>
        <color rgb="FF808080"/>
        <rFont val="맑은 고딕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화강석 계단석 설치와 같이 표준시장단가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조경공사 적산기준에 규격이 등재되지 않은 특수 자재에 대해 노무비</t>
    </r>
    <r>
      <rPr>
        <i val="true"/>
        <sz val="9"/>
        <color rgb="FF808080"/>
        <rFont val="맑은 고딕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장비비만으로 개산</t>
    </r>
    <r>
      <rPr>
        <i val="true"/>
        <sz val="9"/>
        <color rgb="FF808080"/>
        <rFont val="맑은 고딕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概算</t>
    </r>
    <r>
      <rPr>
        <i val="true"/>
        <sz val="9"/>
        <color rgb="FF808080"/>
        <rFont val="맑은 고딕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시공비를 산출하는 품셈식 도구입니다</t>
    </r>
    <r>
      <rPr>
        <i val="true"/>
        <sz val="9"/>
        <color rgb="FF808080"/>
        <rFont val="맑은 고딕"/>
        <family val="0"/>
        <charset val="1"/>
      </rPr>
      <t xml:space="preserve">.
</t>
    </r>
    <r>
      <rPr>
        <i val="true"/>
        <sz val="9"/>
        <color rgb="FF808080"/>
        <rFont val="WenQuanYi Zen Hei"/>
        <family val="2"/>
      </rPr>
      <t xml:space="preserve">노란색 셀</t>
    </r>
    <r>
      <rPr>
        <i val="true"/>
        <sz val="9"/>
        <color rgb="FF808080"/>
        <rFont val="맑은 고딕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단가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수량</t>
    </r>
    <r>
      <rPr>
        <i val="true"/>
        <sz val="9"/>
        <color rgb="FF808080"/>
        <rFont val="맑은 고딕"/>
        <family val="0"/>
        <charset val="1"/>
      </rPr>
      <t xml:space="preserve">·1</t>
    </r>
    <r>
      <rPr>
        <i val="true"/>
        <sz val="9"/>
        <color rgb="FF808080"/>
        <rFont val="WenQuanYi Zen Hei"/>
        <family val="2"/>
      </rPr>
      <t xml:space="preserve">일 시공량</t>
    </r>
    <r>
      <rPr>
        <i val="true"/>
        <sz val="9"/>
        <color rgb="FF808080"/>
        <rFont val="맑은 고딕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에 실제 견적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현장조건을 반영하여 수정하십시오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장비 임대료는 지역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기종별로</t>
    </r>
    <r>
      <rPr>
        <i val="true"/>
        <sz val="9"/>
        <color rgb="FF808080"/>
        <rFont val="맑은 고딕"/>
        <family val="0"/>
        <charset val="1"/>
      </rPr>
      <t xml:space="preserve">, </t>
    </r>
    <r>
      <rPr>
        <i val="true"/>
        <sz val="9"/>
        <color rgb="FF808080"/>
        <rFont val="WenQuanYi Zen Hei"/>
        <family val="2"/>
      </rPr>
      <t xml:space="preserve">노임단가는 국토교통부 시중노임단가</t>
    </r>
    <r>
      <rPr>
        <i val="true"/>
        <sz val="9"/>
        <color rgb="FF808080"/>
        <rFont val="맑은 고딕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매년 갱신</t>
    </r>
    <r>
      <rPr>
        <i val="true"/>
        <sz val="9"/>
        <color rgb="FF808080"/>
        <rFont val="맑은 고딕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확인 후 반영을 권장합니다</t>
    </r>
    <r>
      <rPr>
        <i val="true"/>
        <sz val="9"/>
        <color rgb="FF8080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</si>
</sst>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#,##0\원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05496"/>
      <name val="WenQuanYi Zen Hei"/>
      <family val="2"/>
    </font>
    <font>
      <i val="true"/>
      <sz val="11"/>
      <color rgb="FF595959"/>
      <name val="맑은 고딕"/>
      <family val="0"/>
      <charset val="1"/>
    </font>
    <font>
      <i val="true"/>
      <sz val="11"/>
      <color rgb="FF595959"/>
      <name val="WenQuanYi Zen Hei"/>
      <family val="2"/>
    </font>
    <font>
      <b val="true"/>
      <sz val="11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color rgb="FFC00000"/>
      <name val="WenQuanYi Zen Hei"/>
      <family val="2"/>
    </font>
    <font>
      <sz val="10"/>
      <name val="WenQuanYi Zen Hei"/>
      <family val="2"/>
    </font>
    <font>
      <i val="true"/>
      <sz val="9"/>
      <color rgb="FF808080"/>
      <name val="맑은 고딕"/>
      <family val="0"/>
      <charset val="1"/>
    </font>
    <font>
      <i val="true"/>
      <sz val="9"/>
      <color rgb="FF808080"/>
      <name val="WenQuanYi Zen Hei"/>
      <family val="2"/>
    </font>
    <font>
      <b val="true"/>
      <sz val="12"/>
      <color rgb="FF1F4E78"/>
      <name val="맑은 고딕"/>
      <family val="0"/>
      <charset val="1"/>
    </font>
    <font>
      <b val="true"/>
      <sz val="13"/>
      <color rgb="FFFFFFFF"/>
      <name val="WenQuanYi Zen Hei"/>
      <family val="2"/>
    </font>
    <font>
      <b val="true"/>
      <sz val="13"/>
      <color rgb="FFFFFFFF"/>
      <name val="맑은 고딕"/>
      <family val="0"/>
      <charset val="1"/>
    </font>
    <font>
      <b val="true"/>
      <sz val="14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D9E1F2"/>
      </patternFill>
    </fill>
    <fill>
      <patternFill patternType="solid">
        <fgColor rgb="FF305496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4"/>
  </cols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1"/>
      <c r="C3" s="1"/>
      <c r="D3" s="1"/>
      <c r="E3" s="1"/>
      <c r="F3" s="1"/>
    </row>
    <row r="4" customFormat="false" ht="15" hidden="false" customHeight="tru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</row>
    <row r="7" customFormat="false" ht="19.5" hidden="false" customHeight="true" outlineLevel="0" collapsed="false">
      <c r="B7" s="4" t="s">
        <v>3</v>
      </c>
      <c r="C7" s="5" t="n">
        <v>1000</v>
      </c>
      <c r="D7" s="4" t="s">
        <v>4</v>
      </c>
      <c r="E7" s="5" t="n">
        <v>1000</v>
      </c>
    </row>
    <row r="8" customFormat="false" ht="19.5" hidden="false" customHeight="true" outlineLevel="0" collapsed="false">
      <c r="B8" s="4" t="s">
        <v>5</v>
      </c>
      <c r="C8" s="5" t="n">
        <v>300</v>
      </c>
      <c r="D8" s="4" t="s">
        <v>6</v>
      </c>
      <c r="E8" s="5" t="n">
        <v>2.65</v>
      </c>
    </row>
    <row r="9" customFormat="false" ht="19.5" hidden="false" customHeight="true" outlineLevel="0" collapsed="false">
      <c r="B9" s="6" t="s">
        <v>7</v>
      </c>
      <c r="C9" s="7" t="n">
        <f aca="false">(C7/1000)*(E7/1000)</f>
        <v>1</v>
      </c>
      <c r="D9" s="6" t="s">
        <v>8</v>
      </c>
      <c r="E9" s="7" t="n">
        <f aca="false">C9*(C8/1000)</f>
        <v>0.3</v>
      </c>
    </row>
    <row r="10" customFormat="false" ht="19.5" hidden="false" customHeight="true" outlineLevel="0" collapsed="false">
      <c r="B10" s="6" t="s">
        <v>9</v>
      </c>
      <c r="C10" s="8" t="n">
        <f aca="false">E9*E8*1000</f>
        <v>795</v>
      </c>
      <c r="D10" s="9" t="s">
        <v>10</v>
      </c>
      <c r="E10" s="10" t="str">
        <f aca="false">IF(C10&gt;50,"불가(장비 필요)","가능")</f>
        <v>불가(장비 필요)</v>
      </c>
    </row>
    <row r="12" customFormat="false" ht="15" hidden="false" customHeight="false" outlineLevel="0" collapsed="false">
      <c r="B12" s="3" t="s">
        <v>11</v>
      </c>
      <c r="C12" s="3"/>
      <c r="D12" s="3"/>
      <c r="E12" s="3"/>
      <c r="F12" s="3"/>
    </row>
    <row r="13" customFormat="false" ht="19.5" hidden="false" customHeight="true" outlineLevel="0" collapsed="false"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</row>
    <row r="14" customFormat="false" ht="21.75" hidden="false" customHeight="true" outlineLevel="0" collapsed="false">
      <c r="B14" s="11" t="s">
        <v>17</v>
      </c>
      <c r="C14" s="12" t="n">
        <v>450000</v>
      </c>
      <c r="D14" s="5" t="n">
        <v>1</v>
      </c>
      <c r="E14" s="13" t="n">
        <f aca="false">C14*D14</f>
        <v>450000</v>
      </c>
      <c r="F14" s="14" t="s">
        <v>18</v>
      </c>
    </row>
    <row r="15" customFormat="false" ht="21.75" hidden="false" customHeight="true" outlineLevel="0" collapsed="false">
      <c r="B15" s="11" t="s">
        <v>19</v>
      </c>
      <c r="C15" s="12" t="n">
        <v>220000</v>
      </c>
      <c r="D15" s="5" t="n">
        <v>2</v>
      </c>
      <c r="E15" s="13" t="n">
        <f aca="false">C15*D15</f>
        <v>440000</v>
      </c>
      <c r="F15" s="15" t="s">
        <v>20</v>
      </c>
    </row>
    <row r="16" customFormat="false" ht="21.75" hidden="false" customHeight="true" outlineLevel="0" collapsed="false">
      <c r="B16" s="11" t="s">
        <v>21</v>
      </c>
      <c r="C16" s="12" t="n">
        <v>150000</v>
      </c>
      <c r="D16" s="5" t="n">
        <v>2</v>
      </c>
      <c r="E16" s="13" t="n">
        <f aca="false">C16*D16</f>
        <v>300000</v>
      </c>
      <c r="F16" s="15" t="s">
        <v>22</v>
      </c>
    </row>
    <row r="17" customFormat="false" ht="21.75" hidden="false" customHeight="true" outlineLevel="0" collapsed="false">
      <c r="B17" s="16" t="s">
        <v>23</v>
      </c>
      <c r="C17" s="16"/>
      <c r="D17" s="16"/>
      <c r="E17" s="17" t="n">
        <f aca="false">SUM(E14:E16)</f>
        <v>1190000</v>
      </c>
      <c r="F17" s="18"/>
    </row>
    <row r="19" customFormat="false" ht="15" hidden="false" customHeight="false" outlineLevel="0" collapsed="false">
      <c r="B19" s="3" t="s">
        <v>24</v>
      </c>
      <c r="C19" s="3"/>
      <c r="D19" s="3"/>
      <c r="E19" s="3"/>
      <c r="F19" s="3"/>
    </row>
    <row r="20" customFormat="false" ht="19.5" hidden="false" customHeight="true" outlineLevel="0" collapsed="false">
      <c r="B20" s="6" t="s">
        <v>25</v>
      </c>
      <c r="C20" s="5" t="n">
        <v>10</v>
      </c>
      <c r="D20" s="6" t="s">
        <v>7</v>
      </c>
      <c r="E20" s="7" t="n">
        <f aca="false">C9</f>
        <v>1</v>
      </c>
    </row>
    <row r="21" customFormat="false" ht="19.5" hidden="false" customHeight="true" outlineLevel="0" collapsed="false">
      <c r="B21" s="6" t="s">
        <v>26</v>
      </c>
      <c r="C21" s="7" t="n">
        <f aca="false">C20*C9</f>
        <v>10</v>
      </c>
      <c r="D21" s="19"/>
      <c r="E21" s="19"/>
    </row>
    <row r="23" customFormat="false" ht="27.75" hidden="false" customHeight="true" outlineLevel="0" collapsed="false">
      <c r="B23" s="20" t="s">
        <v>27</v>
      </c>
      <c r="C23" s="20"/>
      <c r="D23" s="21" t="n">
        <f aca="false">E17/C21</f>
        <v>119000</v>
      </c>
      <c r="E23" s="21"/>
    </row>
    <row r="24" customFormat="false" ht="19.5" hidden="false" customHeight="true" outlineLevel="0" collapsed="false">
      <c r="B24" s="22" t="s">
        <v>28</v>
      </c>
      <c r="C24" s="22"/>
      <c r="D24" s="23" t="n">
        <f aca="false">D23*C9</f>
        <v>119000</v>
      </c>
      <c r="E24" s="23"/>
    </row>
    <row r="26" customFormat="false" ht="15" hidden="false" customHeight="false" outlineLevel="0" collapsed="false">
      <c r="B26" s="3" t="s">
        <v>29</v>
      </c>
      <c r="C26" s="3"/>
      <c r="D26" s="3"/>
      <c r="E26" s="3"/>
      <c r="F26" s="3"/>
    </row>
    <row r="27" customFormat="false" ht="19.5" hidden="false" customHeight="true" outlineLevel="0" collapsed="false">
      <c r="B27" s="24" t="s">
        <v>30</v>
      </c>
      <c r="C27" s="24" t="s">
        <v>31</v>
      </c>
      <c r="D27" s="4" t="s">
        <v>32</v>
      </c>
    </row>
    <row r="28" customFormat="false" ht="18" hidden="false" customHeight="true" outlineLevel="0" collapsed="false">
      <c r="B28" s="25" t="n">
        <v>6</v>
      </c>
      <c r="C28" s="7" t="n">
        <f aca="false">B28*C9</f>
        <v>6</v>
      </c>
      <c r="D28" s="26" t="n">
        <f aca="false">E17/C28</f>
        <v>198333.333333333</v>
      </c>
    </row>
    <row r="29" customFormat="false" ht="18" hidden="false" customHeight="true" outlineLevel="0" collapsed="false">
      <c r="B29" s="25" t="n">
        <v>8</v>
      </c>
      <c r="C29" s="7" t="n">
        <f aca="false">B29*C9</f>
        <v>8</v>
      </c>
      <c r="D29" s="26" t="n">
        <f aca="false">E17/C29</f>
        <v>148750</v>
      </c>
    </row>
    <row r="30" customFormat="false" ht="18" hidden="false" customHeight="true" outlineLevel="0" collapsed="false">
      <c r="B30" s="25" t="n">
        <v>10</v>
      </c>
      <c r="C30" s="7" t="n">
        <f aca="false">B30*C9</f>
        <v>10</v>
      </c>
      <c r="D30" s="26" t="n">
        <f aca="false">E17/C30</f>
        <v>119000</v>
      </c>
    </row>
    <row r="31" customFormat="false" ht="18" hidden="false" customHeight="true" outlineLevel="0" collapsed="false">
      <c r="B31" s="25" t="n">
        <v>12</v>
      </c>
      <c r="C31" s="7" t="n">
        <f aca="false">B31*C9</f>
        <v>12</v>
      </c>
      <c r="D31" s="26" t="n">
        <f aca="false">E17/C31</f>
        <v>99166.6666666667</v>
      </c>
    </row>
    <row r="32" customFormat="false" ht="18" hidden="false" customHeight="true" outlineLevel="0" collapsed="false">
      <c r="B32" s="25" t="n">
        <v>14</v>
      </c>
      <c r="C32" s="7" t="n">
        <f aca="false">B32*C9</f>
        <v>14</v>
      </c>
      <c r="D32" s="26" t="n">
        <f aca="false">E17/C32</f>
        <v>85000</v>
      </c>
    </row>
    <row r="33" customFormat="false" ht="18" hidden="false" customHeight="true" outlineLevel="0" collapsed="false">
      <c r="B33" s="25" t="n">
        <v>16</v>
      </c>
      <c r="C33" s="7" t="n">
        <f aca="false">B33*C9</f>
        <v>16</v>
      </c>
      <c r="D33" s="26" t="n">
        <f aca="false">E17/C33</f>
        <v>74375</v>
      </c>
    </row>
    <row r="35" customFormat="false" ht="54.75" hidden="false" customHeight="true" outlineLevel="0" collapsed="false">
      <c r="B35" s="27" t="s">
        <v>33</v>
      </c>
      <c r="C35" s="27"/>
      <c r="D35" s="27"/>
      <c r="E35" s="27"/>
      <c r="F35" s="27"/>
    </row>
  </sheetData>
  <mergeCells count="12">
    <mergeCell ref="B2:F3"/>
    <mergeCell ref="B4:F4"/>
    <mergeCell ref="B6:F6"/>
    <mergeCell ref="B12:F12"/>
    <mergeCell ref="B17:D17"/>
    <mergeCell ref="B19:F19"/>
    <mergeCell ref="B23:C23"/>
    <mergeCell ref="D23:E23"/>
    <mergeCell ref="B24:C24"/>
    <mergeCell ref="D24:E24"/>
    <mergeCell ref="B26:F26"/>
    <mergeCell ref="B35:F35"/>
  </mergeCells>
  <conditionalFormatting sqref="B28:B33">
    <cfRule type="expression" priority="2" aboveAverage="0" equalAverage="0" bottom="0" percent="0" rank="0" text="" dxfId="0">
      <formula>B28=$C$20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2026-09-07T07:52:25Z</dcterms:created>
  <dc:creator>openpyxl</dc:creator>
  <dc:description/>
  <dc:language>en-US</dc:language>
  <cp:lastModifiedBy/>
  <dcterms:modified xsi:type="dcterms:W3CDTF">2026-09-07T07:52:25Z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