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기초자료" sheetId="1" state="visible" r:id="rId3"/>
    <sheet name="단가산출서" sheetId="2" state="visible" r:id="rId4"/>
    <sheet name="민감도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<sst xmlns="http://schemas.openxmlformats.org/spreadsheetml/2006/main" count="202" uniqueCount="139">
  <si>
    <r>
      <rPr>
        <b val="true"/>
        <sz val="16"/>
        <color rgb="FF305496"/>
        <rFont val="WenQuanYi Zen Hei"/>
        <family val="2"/>
      </rPr>
      <t xml:space="preserve">노면요철포장</t>
    </r>
    <r>
      <rPr>
        <b val="true"/>
        <sz val="16"/>
        <color rgb="FF305496"/>
        <rFont val="맑은 고딕"/>
        <family val="0"/>
        <charset val="1"/>
      </rPr>
      <t xml:space="preserve">(</t>
    </r>
    <r>
      <rPr>
        <b val="true"/>
        <sz val="16"/>
        <color rgb="FF305496"/>
        <rFont val="WenQuanYi Zen Hei"/>
        <family val="2"/>
      </rPr>
      <t xml:space="preserve">절삭식</t>
    </r>
    <r>
      <rPr>
        <b val="true"/>
        <sz val="16"/>
        <color rgb="FF305496"/>
        <rFont val="맑은 고딕"/>
        <family val="0"/>
        <charset val="1"/>
      </rPr>
      <t xml:space="preserve">) </t>
    </r>
    <r>
      <rPr>
        <b val="true"/>
        <sz val="16"/>
        <color rgb="FF305496"/>
        <rFont val="WenQuanYi Zen Hei"/>
        <family val="2"/>
      </rPr>
      <t xml:space="preserve">기초자료</t>
    </r>
  </si>
  <si>
    <r>
      <rPr>
        <sz val="10"/>
        <color rgb="FF595959"/>
        <rFont val="WenQuanYi Zen Hei"/>
        <family val="2"/>
      </rPr>
      <t xml:space="preserve">아스콘 포장면 </t>
    </r>
    <r>
      <rPr>
        <sz val="10"/>
        <color rgb="FF595959"/>
        <rFont val="맑은 고딕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노란 셀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파란 글씨</t>
    </r>
    <r>
      <rPr>
        <sz val="10"/>
        <color rgb="FF595959"/>
        <rFont val="맑은 고딕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만 수정 → </t>
    </r>
    <r>
      <rPr>
        <sz val="10"/>
        <color rgb="FF595959"/>
        <rFont val="맑은 고딕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단가산출서</t>
    </r>
    <r>
      <rPr>
        <sz val="10"/>
        <color rgb="FF595959"/>
        <rFont val="맑은 고딕"/>
        <family val="0"/>
        <charset val="1"/>
      </rPr>
      <t xml:space="preserve">' </t>
    </r>
    <r>
      <rPr>
        <sz val="10"/>
        <color rgb="FF595959"/>
        <rFont val="WenQuanYi Zen Hei"/>
        <family val="2"/>
      </rPr>
      <t xml:space="preserve">시트 자동 계산</t>
    </r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</si>
  <si>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노면요철 규격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절삭형</t>
    </r>
    <r>
      <rPr>
        <b val="true"/>
        <sz val="11"/>
        <rFont val="맑은 고딕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아스콘</t>
    </r>
    <r>
      <rPr>
        <b val="true"/>
        <sz val="11"/>
        <rFont val="맑은 고딕"/>
        <family val="0"/>
        <charset val="1"/>
      </rPr>
      <t xml:space="preserve">)</t>
    </r>
  </si>
  <si>
    <t xml:space="preserve">항목</t>
  </si>
  <si>
    <t xml:space="preserve">값</t>
  </si>
  <si>
    <t xml:space="preserve">단위</t>
  </si>
  <si>
    <t xml:space="preserve">비고</t>
  </si>
  <si>
    <r>
      <rPr>
        <sz val="10"/>
        <rFont val="WenQuanYi Zen Hei"/>
        <family val="2"/>
      </rPr>
      <t xml:space="preserve">요철 길이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차로 횡방향</t>
    </r>
    <r>
      <rPr>
        <sz val="10"/>
        <rFont val="맑은 고딕"/>
        <family val="0"/>
        <charset val="1"/>
      </rPr>
      <t xml:space="preserve">)</t>
    </r>
  </si>
  <si>
    <t xml:space="preserve">mm</t>
  </si>
  <si>
    <t xml:space="preserve">노면요철포장 설치 및 관리지침 절삭형 범위 내 설계값 입력</t>
  </si>
  <si>
    <r>
      <rPr>
        <sz val="10"/>
        <rFont val="WenQuanYi Zen Hei"/>
        <family val="2"/>
      </rPr>
      <t xml:space="preserve">요철 폭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진행방향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</si>
  <si>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절삭 드럼 직경에 따라 결정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통상 </t>
    </r>
    <r>
      <rPr>
        <sz val="9"/>
        <color rgb="FF595959"/>
        <rFont val="맑은 고딕"/>
        <family val="0"/>
        <charset val="1"/>
      </rPr>
      <t xml:space="preserve">150~180mm)</t>
    </r>
  </si>
  <si>
    <t xml:space="preserve">최대 절삭 깊이</t>
  </si>
  <si>
    <r>
      <rPr>
        <sz val="9"/>
        <color rgb="FF595959"/>
        <rFont val="WenQuanYi Zen Hei"/>
        <family val="2"/>
      </rPr>
      <t xml:space="preserve">통상 </t>
    </r>
    <r>
      <rPr>
        <sz val="9"/>
        <color rgb="FF595959"/>
        <rFont val="맑은 고딕"/>
        <family val="0"/>
        <charset val="1"/>
      </rPr>
      <t xml:space="preserve">12~15mm</t>
    </r>
  </si>
  <si>
    <r>
      <rPr>
        <sz val="10"/>
        <rFont val="WenQuanYi Zen Hei"/>
        <family val="2"/>
      </rPr>
      <t xml:space="preserve">요철 중심간격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진행방향</t>
    </r>
    <r>
      <rPr>
        <sz val="10"/>
        <rFont val="맑은 고딕"/>
        <family val="0"/>
        <charset val="1"/>
      </rPr>
      <t xml:space="preserve">)</t>
    </r>
  </si>
  <si>
    <t xml:space="preserve">설계도서 기준</t>
  </si>
  <si>
    <r>
      <rPr>
        <sz val="10"/>
        <rFont val="WenQuanYi Zen Hei"/>
        <family val="2"/>
      </rPr>
      <t xml:space="preserve">단면형상계수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평균깊이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최대깊이</t>
    </r>
    <r>
      <rPr>
        <sz val="10"/>
        <rFont val="맑은 고딕"/>
        <family val="0"/>
        <charset val="1"/>
      </rPr>
      <t xml:space="preserve">)</t>
    </r>
  </si>
  <si>
    <t xml:space="preserve">-</t>
  </si>
  <si>
    <r>
      <rPr>
        <sz val="9"/>
        <color rgb="FF595959"/>
        <rFont val="WenQuanYi Zen Hei"/>
        <family val="2"/>
      </rPr>
      <t xml:space="preserve">원호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드럼</t>
    </r>
    <r>
      <rPr>
        <sz val="9"/>
        <color rgb="FF595959"/>
        <rFont val="맑은 고딕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단면 ≈ </t>
    </r>
    <r>
      <rPr>
        <sz val="9"/>
        <color rgb="FF595959"/>
        <rFont val="맑은 고딕"/>
        <family val="0"/>
        <charset val="1"/>
      </rPr>
      <t xml:space="preserve">2/3</t>
    </r>
  </si>
  <si>
    <t xml:space="preserve">아스콘 단위중량</t>
  </si>
  <si>
    <r>
      <rPr>
        <sz val="10"/>
        <rFont val="맑은 고딕"/>
        <family val="0"/>
        <charset val="1"/>
      </rPr>
      <t xml:space="preserve">t/</t>
    </r>
    <r>
      <rPr>
        <sz val="10"/>
        <rFont val="WenQuanYi Zen Hei"/>
        <family val="2"/>
      </rPr>
      <t xml:space="preserve">㎥</t>
    </r>
  </si>
  <si>
    <t xml:space="preserve">절삭재 중량 환산용</t>
  </si>
  <si>
    <r>
      <rPr>
        <sz val="10"/>
        <rFont val="맑은 고딕"/>
        <family val="0"/>
        <charset val="1"/>
      </rPr>
      <t xml:space="preserve">m</t>
    </r>
    <r>
      <rPr>
        <sz val="10"/>
        <rFont val="WenQuanYi Zen Hei"/>
        <family val="2"/>
      </rPr>
      <t xml:space="preserve">당 요철 개수</t>
    </r>
  </si>
  <si>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/m</t>
    </r>
  </si>
  <si>
    <r>
      <rPr>
        <sz val="9"/>
        <color rgb="FF595959"/>
        <rFont val="맑은 고딕"/>
        <family val="0"/>
        <charset val="1"/>
      </rPr>
      <t xml:space="preserve">1,000 ÷ </t>
    </r>
    <r>
      <rPr>
        <sz val="9"/>
        <color rgb="FF595959"/>
        <rFont val="WenQuanYi Zen Hei"/>
        <family val="2"/>
      </rPr>
      <t xml:space="preserve">중심간격</t>
    </r>
  </si>
  <si>
    <r>
      <rPr>
        <sz val="10"/>
        <rFont val="맑은 고딕"/>
        <family val="0"/>
        <charset val="1"/>
      </rPr>
      <t xml:space="preserve">m</t>
    </r>
    <r>
      <rPr>
        <sz val="10"/>
        <rFont val="WenQuanYi Zen Hei"/>
        <family val="2"/>
      </rPr>
      <t xml:space="preserve">당 절삭량</t>
    </r>
  </si>
  <si>
    <r>
      <rPr>
        <sz val="10"/>
        <rFont val="WenQuanYi Zen Hei"/>
        <family val="2"/>
      </rPr>
      <t xml:space="preserve">㎥</t>
    </r>
    <r>
      <rPr>
        <sz val="10"/>
        <rFont val="맑은 고딕"/>
        <family val="0"/>
        <charset val="1"/>
      </rPr>
      <t xml:space="preserve">/m</t>
    </r>
  </si>
  <si>
    <r>
      <rPr>
        <sz val="9"/>
        <color rgb="FF595959"/>
        <rFont val="WenQuanYi Zen Hei"/>
        <family val="2"/>
      </rPr>
      <t xml:space="preserve">길이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폭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깊이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형상계수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개수</t>
    </r>
  </si>
  <si>
    <r>
      <rPr>
        <sz val="10"/>
        <rFont val="맑은 고딕"/>
        <family val="0"/>
        <charset val="1"/>
      </rPr>
      <t xml:space="preserve">m</t>
    </r>
    <r>
      <rPr>
        <sz val="10"/>
        <rFont val="WenQuanYi Zen Hei"/>
        <family val="2"/>
      </rPr>
      <t xml:space="preserve">당 절삭재 중량</t>
    </r>
  </si>
  <si>
    <t xml:space="preserve">t/m</t>
  </si>
  <si>
    <r>
      <rPr>
        <b val="true"/>
        <sz val="11"/>
        <rFont val="맑은 고딕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작업 조건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</si>
  <si>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 시공 연장</t>
    </r>
  </si>
  <si>
    <r>
      <rPr>
        <sz val="10"/>
        <rFont val="맑은 고딕"/>
        <family val="0"/>
        <charset val="1"/>
      </rPr>
      <t xml:space="preserve">m/</t>
    </r>
    <r>
      <rPr>
        <sz val="10"/>
        <rFont val="WenQuanYi Zen Hei"/>
        <family val="2"/>
      </rPr>
      <t xml:space="preserve">일</t>
    </r>
  </si>
  <si>
    <r>
      <rPr>
        <sz val="9"/>
        <color rgb="FF595959"/>
        <rFont val="WenQuanYi Zen Hei"/>
        <family val="2"/>
      </rPr>
      <t xml:space="preserve">장비 성능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교통통제 여건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구간 분할에 따라 조정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민감도 시트 참고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</si>
  <si>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일 작업시간</t>
    </r>
  </si>
  <si>
    <r>
      <rPr>
        <sz val="10"/>
        <rFont val="맑은 고딕"/>
        <family val="0"/>
        <charset val="1"/>
      </rPr>
      <t xml:space="preserve">hr/</t>
    </r>
    <r>
      <rPr>
        <sz val="10"/>
        <rFont val="WenQuanYi Zen Hei"/>
        <family val="2"/>
      </rPr>
      <t xml:space="preserve">일</t>
    </r>
  </si>
  <si>
    <t xml:space="preserve">경유 단가</t>
  </si>
  <si>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/L</t>
    </r>
  </si>
  <si>
    <t xml:space="preserve">한국석유공사 오피넷 등 당해 지역 가격 확인</t>
  </si>
  <si>
    <t xml:space="preserve">공구손료 요율</t>
  </si>
  <si>
    <t xml:space="preserve">노무비의</t>
  </si>
  <si>
    <r>
      <rPr>
        <sz val="9"/>
        <color rgb="FF595959"/>
        <rFont val="WenQuanYi Zen Hei"/>
        <family val="2"/>
      </rPr>
      <t xml:space="preserve">건설공사 표준품셈 공통 적용 기준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인력품의 </t>
    </r>
    <r>
      <rPr>
        <sz val="9"/>
        <color rgb="FF595959"/>
        <rFont val="맑은 고딕"/>
        <family val="0"/>
        <charset val="1"/>
      </rPr>
      <t xml:space="preserve">3%)</t>
    </r>
  </si>
  <si>
    <r>
      <rPr>
        <sz val="10"/>
        <rFont val="WenQuanYi Zen Hei"/>
        <family val="2"/>
      </rPr>
      <t xml:space="preserve">절삭재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폐아스콘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처리단가</t>
    </r>
  </si>
  <si>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/t</t>
    </r>
  </si>
  <si>
    <r>
      <rPr>
        <sz val="9"/>
        <color rgb="FF595959"/>
        <rFont val="WenQuanYi Zen Hei"/>
        <family val="2"/>
      </rPr>
      <t xml:space="preserve">운반</t>
    </r>
    <r>
      <rPr>
        <sz val="9"/>
        <color rgb="FF595959"/>
        <rFont val="맑은 고딕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처리 포함 견적단가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미반영 시 </t>
    </r>
    <r>
      <rPr>
        <sz val="9"/>
        <color rgb="FF595959"/>
        <rFont val="맑은 고딕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입력</t>
    </r>
  </si>
  <si>
    <r>
      <rPr>
        <b val="true"/>
        <sz val="11"/>
        <rFont val="맑은 고딕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노임단가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인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WenQuanYi Zen Hei"/>
        <family val="2"/>
      </rPr>
      <t xml:space="preserve">일</t>
    </r>
    <r>
      <rPr>
        <b val="true"/>
        <sz val="11"/>
        <rFont val="맑은 고딕"/>
        <family val="0"/>
        <charset val="1"/>
      </rPr>
      <t xml:space="preserve">)</t>
    </r>
  </si>
  <si>
    <t xml:space="preserve">직종</t>
  </si>
  <si>
    <t xml:space="preserve">노임단가</t>
  </si>
  <si>
    <t xml:space="preserve">특별인부</t>
  </si>
  <si>
    <t xml:space="preserve">예시값 — 대한건설협회 당해 시중노임단가로 교체</t>
  </si>
  <si>
    <t xml:space="preserve">보통인부</t>
  </si>
  <si>
    <t xml:space="preserve">건설기계운전사</t>
  </si>
  <si>
    <t xml:space="preserve">화물차운전사</t>
  </si>
  <si>
    <r>
      <rPr>
        <sz val="10"/>
        <rFont val="WenQuanYi Zen Hei"/>
        <family val="2"/>
      </rPr>
      <t xml:space="preserve">신호수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교통정리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</si>
  <si>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건설기계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시간당</t>
    </r>
    <r>
      <rPr>
        <b val="true"/>
        <sz val="11"/>
        <rFont val="맑은 고딕"/>
        <family val="0"/>
        <charset val="1"/>
      </rPr>
      <t xml:space="preserve">)</t>
    </r>
  </si>
  <si>
    <t xml:space="preserve">장비명</t>
  </si>
  <si>
    <r>
      <rPr>
        <b val="true"/>
        <sz val="10"/>
        <rFont val="WenQuanYi Zen Hei"/>
        <family val="2"/>
      </rPr>
      <t xml:space="preserve">손료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/hr)</t>
    </r>
  </si>
  <si>
    <r>
      <rPr>
        <b val="true"/>
        <sz val="10"/>
        <rFont val="WenQuanYi Zen Hei"/>
        <family val="2"/>
      </rPr>
      <t xml:space="preserve">연료</t>
    </r>
    <r>
      <rPr>
        <b val="true"/>
        <sz val="10"/>
        <rFont val="맑은 고딕"/>
        <family val="0"/>
        <charset val="1"/>
      </rPr>
      <t xml:space="preserve">(L/hr)</t>
    </r>
  </si>
  <si>
    <r>
      <rPr>
        <b val="true"/>
        <sz val="10"/>
        <rFont val="WenQuanYi Zen Hei"/>
        <family val="2"/>
      </rPr>
      <t xml:space="preserve">잡품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연료비 </t>
    </r>
    <r>
      <rPr>
        <b val="true"/>
        <sz val="10"/>
        <rFont val="맑은 고딕"/>
        <family val="0"/>
        <charset val="1"/>
      </rPr>
      <t xml:space="preserve">%)</t>
    </r>
  </si>
  <si>
    <t xml:space="preserve">운전원</t>
  </si>
  <si>
    <t xml:space="preserve">투입대수</t>
  </si>
  <si>
    <r>
      <rPr>
        <sz val="10"/>
        <rFont val="WenQuanYi Zen Hei"/>
        <family val="2"/>
      </rPr>
      <t xml:space="preserve">노면요철 절삭기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드럼형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스키드로더 부착식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</si>
  <si>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손료</t>
    </r>
    <r>
      <rPr>
        <sz val="9"/>
        <color rgb="FF595959"/>
        <rFont val="맑은 고딕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상각</t>
    </r>
    <r>
      <rPr>
        <sz val="9"/>
        <color rgb="FF595959"/>
        <rFont val="맑은 고딕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정비</t>
    </r>
    <r>
      <rPr>
        <sz val="9"/>
        <color rgb="FF595959"/>
        <rFont val="맑은 고딕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관리비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임대 시 임대료</t>
    </r>
    <r>
      <rPr>
        <sz val="9"/>
        <color rgb="FF595959"/>
        <rFont val="맑은 고딕"/>
        <family val="0"/>
        <charset val="1"/>
      </rPr>
      <t xml:space="preserve">/8hr </t>
    </r>
    <r>
      <rPr>
        <sz val="9"/>
        <color rgb="FF595959"/>
        <rFont val="WenQuanYi Zen Hei"/>
        <family val="2"/>
      </rPr>
      <t xml:space="preserve">입력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연료 별도</t>
    </r>
  </si>
  <si>
    <r>
      <rPr>
        <sz val="10"/>
        <rFont val="WenQuanYi Zen Hei"/>
        <family val="2"/>
      </rPr>
      <t xml:space="preserve">노면청소차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진공흡입식</t>
    </r>
    <r>
      <rPr>
        <sz val="10"/>
        <rFont val="맑은 고딕"/>
        <family val="0"/>
        <charset val="1"/>
      </rPr>
      <t xml:space="preserve">)</t>
    </r>
  </si>
  <si>
    <t xml:space="preserve">절삭분 즉시 수거</t>
  </si>
  <si>
    <r>
      <rPr>
        <sz val="10"/>
        <rFont val="WenQuanYi Zen Hei"/>
        <family val="2"/>
      </rPr>
      <t xml:space="preserve">살수차 </t>
    </r>
    <r>
      <rPr>
        <sz val="10"/>
        <rFont val="맑은 고딕"/>
        <family val="0"/>
        <charset val="1"/>
      </rPr>
      <t xml:space="preserve">(5,500L)</t>
    </r>
  </si>
  <si>
    <r>
      <rPr>
        <sz val="9"/>
        <color rgb="FF595959"/>
        <rFont val="WenQuanYi Zen Hei"/>
        <family val="2"/>
      </rPr>
      <t xml:space="preserve">분진 억제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드럼 냉각</t>
    </r>
  </si>
  <si>
    <r>
      <rPr>
        <sz val="10"/>
        <rFont val="WenQuanYi Zen Hei"/>
        <family val="2"/>
      </rPr>
      <t xml:space="preserve">덤프트럭 </t>
    </r>
    <r>
      <rPr>
        <sz val="10"/>
        <rFont val="맑은 고딕"/>
        <family val="0"/>
        <charset val="1"/>
      </rPr>
      <t xml:space="preserve">(4.5t)</t>
    </r>
  </si>
  <si>
    <r>
      <rPr>
        <sz val="9"/>
        <color rgb="FF595959"/>
        <rFont val="WenQuanYi Zen Hei"/>
        <family val="2"/>
      </rPr>
      <t xml:space="preserve">절삭재 별도 반출 시 </t>
    </r>
    <r>
      <rPr>
        <sz val="9"/>
        <color rgb="FF595959"/>
        <rFont val="맑은 고딕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입력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처리단가에 운반 포함 시 </t>
    </r>
    <r>
      <rPr>
        <sz val="9"/>
        <color rgb="FF595959"/>
        <rFont val="맑은 고딕"/>
        <family val="0"/>
        <charset val="1"/>
      </rPr>
      <t xml:space="preserve">0)</t>
    </r>
  </si>
  <si>
    <r>
      <rPr>
        <sz val="10"/>
        <rFont val="WenQuanYi Zen Hei"/>
        <family val="2"/>
      </rPr>
      <t xml:space="preserve">안전관리차량 </t>
    </r>
    <r>
      <rPr>
        <sz val="10"/>
        <rFont val="맑은 고딕"/>
        <family val="0"/>
        <charset val="1"/>
      </rPr>
      <t xml:space="preserve">(LMA </t>
    </r>
    <r>
      <rPr>
        <sz val="10"/>
        <rFont val="WenQuanYi Zen Hei"/>
        <family val="2"/>
      </rPr>
      <t xml:space="preserve">부착</t>
    </r>
    <r>
      <rPr>
        <sz val="10"/>
        <rFont val="맑은 고딕"/>
        <family val="0"/>
        <charset val="1"/>
      </rPr>
      <t xml:space="preserve">, 1</t>
    </r>
    <r>
      <rPr>
        <sz val="10"/>
        <rFont val="WenQuanYi Zen Hei"/>
        <family val="2"/>
      </rPr>
      <t xml:space="preserve">일 임차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</si>
  <si>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일</t>
    </r>
  </si>
  <si>
    <r>
      <rPr>
        <sz val="9"/>
        <color rgb="FF595959"/>
        <rFont val="WenQuanYi Zen Hei"/>
        <family val="2"/>
      </rPr>
      <t xml:space="preserve">작업구간 후방 방호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투입대수 </t>
    </r>
    <r>
      <rPr>
        <sz val="9"/>
        <color rgb="FF595959"/>
        <rFont val="맑은 고딕"/>
        <family val="0"/>
        <charset val="1"/>
      </rPr>
      <t xml:space="preserve">G</t>
    </r>
    <r>
      <rPr>
        <sz val="9"/>
        <color rgb="FF595959"/>
        <rFont val="WenQuanYi Zen Hei"/>
        <family val="2"/>
      </rPr>
      <t xml:space="preserve">열</t>
    </r>
  </si>
  <si>
    <r>
      <rPr>
        <sz val="9"/>
        <color rgb="FFC00000"/>
        <rFont val="WenQuanYi Zen Hei"/>
        <family val="2"/>
      </rPr>
      <t xml:space="preserve">※ 규격</t>
    </r>
    <r>
      <rPr>
        <sz val="9"/>
        <color rgb="FFC00000"/>
        <rFont val="맑은 고딕"/>
        <family val="0"/>
        <charset val="1"/>
      </rPr>
      <t xml:space="preserve">·</t>
    </r>
    <r>
      <rPr>
        <sz val="9"/>
        <color rgb="FFC00000"/>
        <rFont val="WenQuanYi Zen Hei"/>
        <family val="2"/>
      </rPr>
      <t xml:space="preserve">노임</t>
    </r>
    <r>
      <rPr>
        <sz val="9"/>
        <color rgb="FFC00000"/>
        <rFont val="맑은 고딕"/>
        <family val="0"/>
        <charset val="1"/>
      </rPr>
      <t xml:space="preserve">·</t>
    </r>
    <r>
      <rPr>
        <sz val="9"/>
        <color rgb="FFC00000"/>
        <rFont val="WenQuanYi Zen Hei"/>
        <family val="2"/>
      </rPr>
      <t xml:space="preserve">장비단가는 모두 예시값입니다</t>
    </r>
    <r>
      <rPr>
        <sz val="9"/>
        <color rgb="FFC00000"/>
        <rFont val="맑은 고딕"/>
        <family val="0"/>
        <charset val="1"/>
      </rPr>
      <t xml:space="preserve">. </t>
    </r>
    <r>
      <rPr>
        <sz val="9"/>
        <color rgb="FFC00000"/>
        <rFont val="WenQuanYi Zen Hei"/>
        <family val="2"/>
      </rPr>
      <t xml:space="preserve">설계 시 노면요철포장 설치 및 관리지침</t>
    </r>
    <r>
      <rPr>
        <sz val="9"/>
        <color rgb="FFC00000"/>
        <rFont val="맑은 고딕"/>
        <family val="0"/>
        <charset val="1"/>
      </rPr>
      <t xml:space="preserve">(</t>
    </r>
    <r>
      <rPr>
        <sz val="9"/>
        <color rgb="FFC00000"/>
        <rFont val="WenQuanYi Zen Hei"/>
        <family val="2"/>
      </rPr>
      <t xml:space="preserve">국토교통부</t>
    </r>
    <r>
      <rPr>
        <sz val="9"/>
        <color rgb="FFC00000"/>
        <rFont val="맑은 고딕"/>
        <family val="0"/>
        <charset val="1"/>
      </rPr>
      <t xml:space="preserve">), </t>
    </r>
    <r>
      <rPr>
        <sz val="9"/>
        <color rgb="FFC00000"/>
        <rFont val="WenQuanYi Zen Hei"/>
        <family val="2"/>
      </rPr>
      <t xml:space="preserve">당해 연도 건설공사 표준품셈</t>
    </r>
    <r>
      <rPr>
        <sz val="9"/>
        <color rgb="FFC00000"/>
        <rFont val="맑은 고딕"/>
        <family val="0"/>
        <charset val="1"/>
      </rPr>
      <t xml:space="preserve">·</t>
    </r>
    <r>
      <rPr>
        <sz val="9"/>
        <color rgb="FFC00000"/>
        <rFont val="WenQuanYi Zen Hei"/>
        <family val="2"/>
      </rPr>
      <t xml:space="preserve">시중노임단가</t>
    </r>
    <r>
      <rPr>
        <sz val="9"/>
        <color rgb="FFC00000"/>
        <rFont val="맑은 고딕"/>
        <family val="0"/>
        <charset val="1"/>
      </rPr>
      <t xml:space="preserve">·</t>
    </r>
    <r>
      <rPr>
        <sz val="9"/>
        <color rgb="FFC00000"/>
        <rFont val="WenQuanYi Zen Hei"/>
        <family val="2"/>
      </rPr>
      <t xml:space="preserve">건설기계 경비산정 자료와 실제 견적으로 교체하십시오</t>
    </r>
    <r>
      <rPr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</si>
  <si>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6"/>
        <color rgb="FF305496"/>
        <rFont val="WenQuanYi Zen Hei"/>
        <family val="2"/>
      </rPr>
      <t xml:space="preserve">노면요철포장</t>
    </r>
    <r>
      <rPr>
        <b val="true"/>
        <sz val="16"/>
        <color rgb="FF305496"/>
        <rFont val="맑은 고딕"/>
        <family val="0"/>
        <charset val="1"/>
      </rPr>
      <t xml:space="preserve">(</t>
    </r>
    <r>
      <rPr>
        <b val="true"/>
        <sz val="16"/>
        <color rgb="FF305496"/>
        <rFont val="WenQuanYi Zen Hei"/>
        <family val="2"/>
      </rPr>
      <t xml:space="preserve">절삭식</t>
    </r>
    <r>
      <rPr>
        <b val="true"/>
        <sz val="16"/>
        <color rgb="FF305496"/>
        <rFont val="맑은 고딕"/>
        <family val="0"/>
        <charset val="1"/>
      </rPr>
      <t xml:space="preserve">) </t>
    </r>
    <r>
      <rPr>
        <b val="true"/>
        <sz val="16"/>
        <color rgb="FF305496"/>
        <rFont val="WenQuanYi Zen Hei"/>
        <family val="2"/>
      </rPr>
      <t xml:space="preserve">아스콘포장 단가산출서</t>
    </r>
  </si>
  <si>
    <r>
      <rPr>
        <sz val="10"/>
        <color rgb="FF595959"/>
        <rFont val="WenQuanYi Zen Hei"/>
        <family val="2"/>
      </rPr>
      <t xml:space="preserve">산출단위</t>
    </r>
    <r>
      <rPr>
        <sz val="10"/>
        <color rgb="FF595959"/>
        <rFont val="맑은 고딕"/>
        <family val="0"/>
        <charset val="1"/>
      </rPr>
      <t xml:space="preserve">: 1 m (</t>
    </r>
    <r>
      <rPr>
        <sz val="10"/>
        <color rgb="FF595959"/>
        <rFont val="WenQuanYi Zen Hei"/>
        <family val="2"/>
      </rPr>
      <t xml:space="preserve">시공 연장</t>
    </r>
    <r>
      <rPr>
        <sz val="10"/>
        <color rgb="FF595959"/>
        <rFont val="맑은 고딕"/>
        <family val="0"/>
        <charset val="1"/>
      </rPr>
      <t xml:space="preserve">) · 1</t>
    </r>
    <r>
      <rPr>
        <sz val="10"/>
        <color rgb="FF595959"/>
        <rFont val="WenQuanYi Zen Hei"/>
        <family val="2"/>
      </rPr>
      <t xml:space="preserve">일 투입비 </t>
    </r>
    <r>
      <rPr>
        <sz val="10"/>
        <color rgb="FF595959"/>
        <rFont val="맑은 고딕"/>
        <family val="0"/>
        <charset val="1"/>
      </rPr>
      <t xml:space="preserve">÷ 1</t>
    </r>
    <r>
      <rPr>
        <sz val="10"/>
        <color rgb="FF595959"/>
        <rFont val="WenQuanYi Zen Hei"/>
        <family val="2"/>
      </rPr>
      <t xml:space="preserve">일 시공연장 방식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</si>
  <si>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일 시공연장 </t>
    </r>
    <r>
      <rPr>
        <b val="true"/>
        <sz val="10"/>
        <rFont val="맑은 고딕"/>
        <family val="0"/>
        <charset val="1"/>
      </rPr>
      <t xml:space="preserve">(m)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</si>
  <si>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일 작업시간 </t>
    </r>
    <r>
      <rPr>
        <b val="true"/>
        <sz val="10"/>
        <rFont val="맑은 고딕"/>
        <family val="0"/>
        <charset val="1"/>
      </rPr>
      <t xml:space="preserve">(hr)</t>
    </r>
  </si>
  <si>
    <t xml:space="preserve">구분</t>
  </si>
  <si>
    <r>
      <rPr>
        <b val="true"/>
        <sz val="10"/>
        <rFont val="WenQuanYi Zen Hei"/>
        <family val="2"/>
      </rPr>
      <t xml:space="preserve">품명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산출근거</t>
    </r>
  </si>
  <si>
    <t xml:space="preserve">규격</t>
  </si>
  <si>
    <t xml:space="preserve">수량</t>
  </si>
  <si>
    <r>
      <rPr>
        <b val="true"/>
        <sz val="10"/>
        <rFont val="WenQuanYi Zen Hei"/>
        <family val="2"/>
      </rPr>
      <t xml:space="preserve">단가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</si>
  <si>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일 금액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</si>
  <si>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재료비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/m)</t>
    </r>
  </si>
  <si>
    <r>
      <rPr>
        <b val="true"/>
        <sz val="10"/>
        <rFont val="WenQuanYi Zen Hei"/>
        <family val="2"/>
      </rPr>
      <t xml:space="preserve">노무비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/m)</t>
    </r>
  </si>
  <si>
    <r>
      <rPr>
        <b val="true"/>
        <sz val="10"/>
        <rFont val="WenQuanYi Zen Hei"/>
        <family val="2"/>
      </rPr>
      <t xml:space="preserve">경비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/m)</t>
    </r>
  </si>
  <si>
    <t xml:space="preserve">인력</t>
  </si>
  <si>
    <r>
      <rPr>
        <sz val="10"/>
        <rFont val="WenQuanYi Zen Hei"/>
        <family val="2"/>
      </rPr>
      <t xml:space="preserve">요철 배치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절삭기 보조</t>
    </r>
  </si>
  <si>
    <t xml:space="preserve">인</t>
  </si>
  <si>
    <r>
      <rPr>
        <sz val="9"/>
        <color rgb="FF595959"/>
        <rFont val="WenQuanYi Zen Hei"/>
        <family val="2"/>
      </rPr>
      <t xml:space="preserve">측점 마킹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품질확인</t>
    </r>
  </si>
  <si>
    <t xml:space="preserve">잔재 정리</t>
  </si>
  <si>
    <r>
      <rPr>
        <sz val="10"/>
        <rFont val="WenQuanYi Zen Hei"/>
        <family val="2"/>
      </rPr>
      <t xml:space="preserve">작업구간 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후방</t>
    </r>
  </si>
  <si>
    <t xml:space="preserve">장비</t>
  </si>
  <si>
    <t xml:space="preserve">노면요철 절삭기 손료</t>
  </si>
  <si>
    <t xml:space="preserve">hr</t>
  </si>
  <si>
    <r>
      <rPr>
        <sz val="10"/>
        <rFont val="WenQuanYi Zen Hei"/>
        <family val="2"/>
      </rPr>
      <t xml:space="preserve">노면요철 절삭기 연료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잡품</t>
    </r>
  </si>
  <si>
    <t xml:space="preserve">경유</t>
  </si>
  <si>
    <t xml:space="preserve">L</t>
  </si>
  <si>
    <r>
      <rPr>
        <sz val="9"/>
        <color rgb="FF595959"/>
        <rFont val="WenQuanYi Zen Hei"/>
        <family val="2"/>
      </rPr>
      <t xml:space="preserve">연료비 </t>
    </r>
    <r>
      <rPr>
        <sz val="9"/>
        <color rgb="FF595959"/>
        <rFont val="맑은 고딕"/>
        <family val="0"/>
        <charset val="1"/>
      </rPr>
      <t xml:space="preserve">× (1+</t>
    </r>
    <r>
      <rPr>
        <sz val="9"/>
        <color rgb="FF595959"/>
        <rFont val="WenQuanYi Zen Hei"/>
        <family val="2"/>
      </rPr>
      <t xml:space="preserve">잡품률</t>
    </r>
    <r>
      <rPr>
        <sz val="9"/>
        <color rgb="FF595959"/>
        <rFont val="맑은 고딕"/>
        <family val="0"/>
        <charset val="1"/>
      </rPr>
      <t xml:space="preserve">)</t>
    </r>
  </si>
  <si>
    <t xml:space="preserve">노면요철 절삭기 운전원</t>
  </si>
  <si>
    <t xml:space="preserve">노면청소차 손료</t>
  </si>
  <si>
    <r>
      <rPr>
        <sz val="10"/>
        <rFont val="WenQuanYi Zen Hei"/>
        <family val="2"/>
      </rPr>
      <t xml:space="preserve">노면청소차 연료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잡품</t>
    </r>
  </si>
  <si>
    <t xml:space="preserve">노면청소차 운전원</t>
  </si>
  <si>
    <t xml:space="preserve">살수차 손료</t>
  </si>
  <si>
    <r>
      <rPr>
        <sz val="10"/>
        <rFont val="WenQuanYi Zen Hei"/>
        <family val="2"/>
      </rPr>
      <t xml:space="preserve">살수차 연료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잡품</t>
    </r>
  </si>
  <si>
    <t xml:space="preserve">살수차 운전원</t>
  </si>
  <si>
    <t xml:space="preserve">덤프트럭 손료</t>
  </si>
  <si>
    <r>
      <rPr>
        <sz val="10"/>
        <rFont val="WenQuanYi Zen Hei"/>
        <family val="2"/>
      </rPr>
      <t xml:space="preserve">덤프트럭 연료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잡품</t>
    </r>
  </si>
  <si>
    <t xml:space="preserve">덤프트럭 운전원</t>
  </si>
  <si>
    <t xml:space="preserve">경비</t>
  </si>
  <si>
    <r>
      <rPr>
        <sz val="10"/>
        <rFont val="WenQuanYi Zen Hei"/>
        <family val="2"/>
      </rPr>
      <t xml:space="preserve">안전관리차량 </t>
    </r>
    <r>
      <rPr>
        <sz val="10"/>
        <rFont val="맑은 고딕"/>
        <family val="0"/>
        <charset val="1"/>
      </rPr>
      <t xml:space="preserve">(LMA) </t>
    </r>
    <r>
      <rPr>
        <sz val="10"/>
        <rFont val="WenQuanYi Zen Hei"/>
        <family val="2"/>
      </rPr>
      <t xml:space="preserve">임차</t>
    </r>
  </si>
  <si>
    <t xml:space="preserve">대</t>
  </si>
  <si>
    <r>
      <rPr>
        <sz val="10"/>
        <rFont val="WenQuanYi Zen Hei"/>
        <family val="2"/>
      </rPr>
      <t xml:space="preserve">절삭재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폐아스콘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처리</t>
    </r>
  </si>
  <si>
    <t xml:space="preserve">t</t>
  </si>
  <si>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일 절삭중량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처리단가</t>
    </r>
  </si>
  <si>
    <t xml:space="preserve">공구손료</t>
  </si>
  <si>
    <t xml:space="preserve">식</t>
  </si>
  <si>
    <r>
      <rPr>
        <sz val="9"/>
        <color rgb="FF595959"/>
        <rFont val="WenQuanYi Zen Hei"/>
        <family val="2"/>
      </rPr>
      <t xml:space="preserve">단가 </t>
    </r>
    <r>
      <rPr>
        <sz val="9"/>
        <color rgb="FF595959"/>
        <rFont val="맑은 고딕"/>
        <family val="0"/>
        <charset val="1"/>
      </rPr>
      <t xml:space="preserve">= 1</t>
    </r>
    <r>
      <rPr>
        <sz val="9"/>
        <color rgb="FF595959"/>
        <rFont val="WenQuanYi Zen Hei"/>
        <family val="2"/>
      </rPr>
      <t xml:space="preserve">일 노무비 합계</t>
    </r>
  </si>
  <si>
    <t xml:space="preserve">합계</t>
  </si>
  <si>
    <t xml:space="preserve">■ 일위대가 요약</t>
  </si>
  <si>
    <t xml:space="preserve">공종</t>
  </si>
  <si>
    <t xml:space="preserve">재료비</t>
  </si>
  <si>
    <t xml:space="preserve">노무비</t>
  </si>
  <si>
    <r>
      <rPr>
        <sz val="10"/>
        <rFont val="WenQuanYi Zen Hei"/>
        <family val="2"/>
      </rPr>
      <t xml:space="preserve">노면요철포장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절삭식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아스콘</t>
    </r>
    <r>
      <rPr>
        <sz val="10"/>
        <rFont val="맑은 고딕"/>
        <family val="0"/>
        <charset val="1"/>
      </rPr>
      <t xml:space="preserve">)</t>
    </r>
  </si>
  <si>
    <t xml:space="preserve">m</t>
  </si>
  <si>
    <t xml:space="preserve">원 미만 절사</t>
  </si>
  <si>
    <r>
      <rPr>
        <sz val="10"/>
        <rFont val="WenQuanYi Zen Hei"/>
        <family val="2"/>
      </rPr>
      <t xml:space="preserve">노면요철포장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절삭식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아스콘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개당 환산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</si>
  <si>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요철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</si>
  <si>
    <t xml:space="preserve">개</t>
  </si>
  <si>
    <r>
      <rPr>
        <sz val="9"/>
        <color rgb="FF595959"/>
        <rFont val="맑은 고딕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당 </t>
    </r>
    <r>
      <rPr>
        <sz val="9"/>
        <color rgb="FF595959"/>
        <rFont val="맑은 고딕"/>
        <family val="0"/>
        <charset val="1"/>
      </rPr>
      <t xml:space="preserve">÷ m</t>
    </r>
    <r>
      <rPr>
        <sz val="9"/>
        <color rgb="FF595959"/>
        <rFont val="WenQuanYi Zen Hei"/>
        <family val="2"/>
      </rPr>
      <t xml:space="preserve">당 요철 개수</t>
    </r>
  </si>
  <si>
    <r>
      <rPr>
        <sz val="9"/>
        <color rgb="FF595959"/>
        <rFont val="WenQuanYi Zen Hei"/>
        <family val="2"/>
      </rPr>
      <t xml:space="preserve">※ 기계경비는 손료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경비</t>
    </r>
    <r>
      <rPr>
        <sz val="9"/>
        <color rgb="FF595959"/>
        <rFont val="맑은 고딕"/>
        <family val="0"/>
        <charset val="1"/>
      </rPr>
      <t xml:space="preserve">) · </t>
    </r>
    <r>
      <rPr>
        <sz val="9"/>
        <color rgb="FF595959"/>
        <rFont val="WenQuanYi Zen Hei"/>
        <family val="2"/>
      </rPr>
      <t xml:space="preserve">연료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잡품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재료비</t>
    </r>
    <r>
      <rPr>
        <sz val="9"/>
        <color rgb="FF595959"/>
        <rFont val="맑은 고딕"/>
        <family val="0"/>
        <charset val="1"/>
      </rPr>
      <t xml:space="preserve">) · </t>
    </r>
    <r>
      <rPr>
        <sz val="9"/>
        <color rgb="FF595959"/>
        <rFont val="WenQuanYi Zen Hei"/>
        <family val="2"/>
      </rPr>
      <t xml:space="preserve">운전원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노무비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으로 분리 계상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간접노무비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산재보험료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안전관리비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일반관리비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이윤 등 제경비는 원가계산서에서 별도 계상하십시오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</si>
  <si>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6"/>
        <color rgb="FF305496"/>
        <rFont val="맑은 고딕"/>
        <family val="0"/>
        <charset val="1"/>
      </rPr>
      <t xml:space="preserve">1</t>
    </r>
    <r>
      <rPr>
        <b val="true"/>
        <sz val="16"/>
        <color rgb="FF305496"/>
        <rFont val="WenQuanYi Zen Hei"/>
        <family val="2"/>
      </rPr>
      <t xml:space="preserve">일 시공연장별 </t>
    </r>
    <r>
      <rPr>
        <b val="true"/>
        <sz val="16"/>
        <color rgb="FF305496"/>
        <rFont val="맑은 고딕"/>
        <family val="0"/>
        <charset val="1"/>
      </rPr>
      <t xml:space="preserve">m</t>
    </r>
    <r>
      <rPr>
        <b val="true"/>
        <sz val="16"/>
        <color rgb="FF305496"/>
        <rFont val="WenQuanYi Zen Hei"/>
        <family val="2"/>
      </rPr>
      <t xml:space="preserve">당 단가 민감도</t>
    </r>
  </si>
  <si>
    <r>
      <rPr>
        <sz val="10"/>
        <color rgb="FF595959"/>
        <rFont val="WenQuanYi Zen Hei"/>
        <family val="2"/>
      </rPr>
      <t xml:space="preserve">단가산출서의 </t>
    </r>
    <r>
      <rPr>
        <sz val="10"/>
        <color rgb="FF595959"/>
        <rFont val="맑은 고딕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일 투입비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노무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장비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안전차량</t>
    </r>
    <r>
      <rPr>
        <sz val="10"/>
        <color rgb="FF595959"/>
        <rFont val="맑은 고딕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는 고정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연장에 비례하는 항목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절삭재 처리</t>
    </r>
    <r>
      <rPr>
        <sz val="10"/>
        <color rgb="FF595959"/>
        <rFont val="맑은 고딕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은 </t>
    </r>
    <r>
      <rPr>
        <sz val="10"/>
        <color rgb="FF595959"/>
        <rFont val="맑은 고딕"/>
        <family val="0"/>
        <charset val="1"/>
      </rPr>
      <t xml:space="preserve">m</t>
    </r>
    <r>
      <rPr>
        <sz val="10"/>
        <color rgb="FF595959"/>
        <rFont val="WenQuanYi Zen Hei"/>
        <family val="2"/>
      </rPr>
      <t xml:space="preserve">당 일정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</si>
  <si>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일 시공연장</t>
    </r>
    <r>
      <rPr>
        <b val="true"/>
        <sz val="10"/>
        <rFont val="맑은 고딕"/>
        <family val="0"/>
        <charset val="1"/>
      </rPr>
      <t xml:space="preserve">(m)</t>
    </r>
  </si>
  <si>
    <r>
      <rPr>
        <b val="true"/>
        <sz val="10"/>
        <rFont val="WenQuanYi Zen Hei"/>
        <family val="2"/>
      </rPr>
      <t xml:space="preserve">고정비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</si>
  <si>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변동비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/m)</t>
    </r>
  </si>
  <si>
    <r>
      <rPr>
        <b val="true"/>
        <sz val="10"/>
        <rFont val="맑은 고딕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당 단가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</si>
  <si>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개당 단가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</si>
  <si>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← 현재 설계값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</si>
</sst>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#,##0.00;\(#,##0.00\);\-"/>
    <numFmt numFmtId="167" formatCode="0.0000"/>
    <numFmt numFmtId="168" formatCode="0.0%"/>
    <numFmt numFmtId="169" formatCode="0%"/>
    <numFmt numFmtId="170" formatCode="@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05496"/>
      <name val="WenQuanYi Zen Hei"/>
      <family val="2"/>
    </font>
    <font>
      <b val="true"/>
      <sz val="16"/>
      <color rgb="FF305496"/>
      <name val="맑은 고딕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1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9"/>
      <color rgb="FF595959"/>
      <name val="WenQuanYi Zen Hei"/>
      <family val="2"/>
    </font>
    <font>
      <sz val="9"/>
      <color rgb="FF595959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0000FF"/>
      <name val="WenQuanYi Zen Hei"/>
      <family val="2"/>
    </font>
    <font>
      <sz val="9"/>
      <color rgb="FFC00000"/>
      <name val="WenQuanYi Zen Hei"/>
      <family val="2"/>
    </font>
    <font>
      <sz val="9"/>
      <color rgb="FFC00000"/>
      <name val="맑은 고딕"/>
      <family val="0"/>
      <charset val="1"/>
    </font>
    <font>
      <b val="true"/>
      <sz val="10"/>
      <color rgb="FF008000"/>
      <name val="맑은 고딕"/>
      <family val="0"/>
      <charset val="1"/>
    </font>
    <font>
      <sz val="10"/>
      <color rgb="FF008000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44"/>
  </cols>
  <sheetData>
    <row r="2" customFormat="false" ht="20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B6" s="5" t="s">
        <v>3</v>
      </c>
      <c r="C6" s="5" t="s">
        <v>4</v>
      </c>
      <c r="D6" s="5" t="s">
        <v>5</v>
      </c>
      <c r="E6" s="5"/>
      <c r="F6" s="5"/>
      <c r="G6" s="5"/>
      <c r="H6" s="5" t="s">
        <v>6</v>
      </c>
    </row>
    <row r="7" customFormat="false" ht="25.35" hidden="false" customHeight="false" outlineLevel="0" collapsed="false">
      <c r="B7" s="6" t="s">
        <v>7</v>
      </c>
      <c r="C7" s="7" t="n">
        <v>400</v>
      </c>
      <c r="D7" s="8" t="s">
        <v>8</v>
      </c>
      <c r="E7" s="9"/>
      <c r="F7" s="9"/>
      <c r="G7" s="9"/>
      <c r="H7" s="10" t="s">
        <v>9</v>
      </c>
    </row>
    <row r="8" customFormat="false" ht="15" hidden="false" customHeight="false" outlineLevel="0" collapsed="false">
      <c r="B8" s="6" t="s">
        <v>10</v>
      </c>
      <c r="C8" s="7" t="n">
        <v>180</v>
      </c>
      <c r="D8" s="8" t="s">
        <v>8</v>
      </c>
      <c r="E8" s="9"/>
      <c r="F8" s="9"/>
      <c r="G8" s="9"/>
      <c r="H8" s="10" t="s">
        <v>11</v>
      </c>
    </row>
    <row r="9" customFormat="false" ht="15" hidden="false" customHeight="false" outlineLevel="0" collapsed="false">
      <c r="B9" s="6" t="s">
        <v>12</v>
      </c>
      <c r="C9" s="7" t="n">
        <v>15</v>
      </c>
      <c r="D9" s="8" t="s">
        <v>8</v>
      </c>
      <c r="E9" s="9"/>
      <c r="F9" s="9"/>
      <c r="G9" s="9"/>
      <c r="H9" s="10" t="s">
        <v>13</v>
      </c>
    </row>
    <row r="10" customFormat="false" ht="15" hidden="false" customHeight="false" outlineLevel="0" collapsed="false">
      <c r="B10" s="6" t="s">
        <v>14</v>
      </c>
      <c r="C10" s="7" t="n">
        <v>300</v>
      </c>
      <c r="D10" s="8" t="s">
        <v>8</v>
      </c>
      <c r="E10" s="9"/>
      <c r="F10" s="9"/>
      <c r="G10" s="9"/>
      <c r="H10" s="10" t="s">
        <v>15</v>
      </c>
    </row>
    <row r="11" customFormat="false" ht="15" hidden="false" customHeight="false" outlineLevel="0" collapsed="false">
      <c r="B11" s="6" t="s">
        <v>16</v>
      </c>
      <c r="C11" s="11" t="n">
        <v>0.67</v>
      </c>
      <c r="D11" s="8" t="s">
        <v>17</v>
      </c>
      <c r="E11" s="9"/>
      <c r="F11" s="9"/>
      <c r="G11" s="9"/>
      <c r="H11" s="10" t="s">
        <v>18</v>
      </c>
    </row>
    <row r="12" customFormat="false" ht="15" hidden="false" customHeight="false" outlineLevel="0" collapsed="false">
      <c r="B12" s="6" t="s">
        <v>19</v>
      </c>
      <c r="C12" s="11" t="n">
        <v>2.35</v>
      </c>
      <c r="D12" s="8" t="s">
        <v>20</v>
      </c>
      <c r="E12" s="9"/>
      <c r="F12" s="9"/>
      <c r="G12" s="9"/>
      <c r="H12" s="10" t="s">
        <v>21</v>
      </c>
    </row>
    <row r="13" customFormat="false" ht="15" hidden="false" customHeight="false" outlineLevel="0" collapsed="false">
      <c r="B13" s="12" t="s">
        <v>22</v>
      </c>
      <c r="C13" s="13" t="n">
        <f aca="false">1000/C10</f>
        <v>3.33333333333333</v>
      </c>
      <c r="D13" s="14" t="s">
        <v>23</v>
      </c>
      <c r="H13" s="15" t="s">
        <v>24</v>
      </c>
    </row>
    <row r="14" customFormat="false" ht="15" hidden="false" customHeight="false" outlineLevel="0" collapsed="false">
      <c r="B14" s="12" t="s">
        <v>25</v>
      </c>
      <c r="C14" s="16" t="n">
        <f aca="false">(C7/1000)*(C8/1000)*(C9/1000)*C11*C13</f>
        <v>0.002412</v>
      </c>
      <c r="D14" s="14" t="s">
        <v>26</v>
      </c>
      <c r="H14" s="10" t="s">
        <v>27</v>
      </c>
    </row>
    <row r="15" customFormat="false" ht="15" hidden="false" customHeight="false" outlineLevel="0" collapsed="false">
      <c r="B15" s="12" t="s">
        <v>28</v>
      </c>
      <c r="C15" s="16" t="n">
        <f aca="false">C14*C12</f>
        <v>0.0056682</v>
      </c>
      <c r="D15" s="8" t="s">
        <v>29</v>
      </c>
    </row>
    <row r="17" customFormat="false" ht="15" hidden="false" customHeight="false" outlineLevel="0" collapsed="false">
      <c r="B17" s="3" t="s">
        <v>30</v>
      </c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B18" s="5" t="s">
        <v>3</v>
      </c>
      <c r="C18" s="5" t="s">
        <v>4</v>
      </c>
      <c r="D18" s="5" t="s">
        <v>5</v>
      </c>
      <c r="E18" s="5"/>
      <c r="F18" s="5"/>
      <c r="G18" s="5"/>
      <c r="H18" s="5" t="s">
        <v>6</v>
      </c>
    </row>
    <row r="19" customFormat="false" ht="25.35" hidden="false" customHeight="false" outlineLevel="0" collapsed="false">
      <c r="B19" s="12" t="s">
        <v>31</v>
      </c>
      <c r="C19" s="7" t="n">
        <v>3000</v>
      </c>
      <c r="D19" s="8" t="s">
        <v>32</v>
      </c>
      <c r="E19" s="9"/>
      <c r="F19" s="9"/>
      <c r="G19" s="9"/>
      <c r="H19" s="10" t="s">
        <v>33</v>
      </c>
    </row>
    <row r="20" customFormat="false" ht="15" hidden="false" customHeight="false" outlineLevel="0" collapsed="false">
      <c r="B20" s="12" t="s">
        <v>34</v>
      </c>
      <c r="C20" s="7" t="n">
        <v>8</v>
      </c>
      <c r="D20" s="8" t="s">
        <v>35</v>
      </c>
      <c r="E20" s="9"/>
      <c r="F20" s="9"/>
      <c r="G20" s="9"/>
    </row>
    <row r="21" customFormat="false" ht="15" hidden="false" customHeight="false" outlineLevel="0" collapsed="false">
      <c r="B21" s="6" t="s">
        <v>36</v>
      </c>
      <c r="C21" s="7" t="n">
        <v>1600</v>
      </c>
      <c r="D21" s="14" t="s">
        <v>37</v>
      </c>
      <c r="E21" s="9"/>
      <c r="F21" s="9"/>
      <c r="G21" s="9"/>
      <c r="H21" s="10" t="s">
        <v>38</v>
      </c>
    </row>
    <row r="22" customFormat="false" ht="15" hidden="false" customHeight="false" outlineLevel="0" collapsed="false">
      <c r="B22" s="6" t="s">
        <v>39</v>
      </c>
      <c r="C22" s="17" t="n">
        <v>0.03</v>
      </c>
      <c r="D22" s="14" t="s">
        <v>40</v>
      </c>
      <c r="E22" s="9"/>
      <c r="F22" s="9"/>
      <c r="G22" s="9"/>
      <c r="H22" s="10" t="s">
        <v>41</v>
      </c>
    </row>
    <row r="23" customFormat="false" ht="15" hidden="false" customHeight="false" outlineLevel="0" collapsed="false">
      <c r="B23" s="6" t="s">
        <v>42</v>
      </c>
      <c r="C23" s="7" t="n">
        <v>25000</v>
      </c>
      <c r="D23" s="14" t="s">
        <v>43</v>
      </c>
      <c r="E23" s="9"/>
      <c r="F23" s="9"/>
      <c r="G23" s="9"/>
      <c r="H23" s="10" t="s">
        <v>44</v>
      </c>
    </row>
    <row r="25" customFormat="false" ht="15" hidden="false" customHeight="false" outlineLevel="0" collapsed="false">
      <c r="B25" s="3" t="s">
        <v>45</v>
      </c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B26" s="5" t="s">
        <v>46</v>
      </c>
      <c r="C26" s="5" t="s">
        <v>47</v>
      </c>
      <c r="D26" s="5"/>
      <c r="E26" s="5"/>
      <c r="F26" s="5"/>
      <c r="G26" s="5"/>
      <c r="H26" s="5" t="s">
        <v>6</v>
      </c>
    </row>
    <row r="27" customFormat="false" ht="15" hidden="false" customHeight="false" outlineLevel="0" collapsed="false">
      <c r="B27" s="6" t="s">
        <v>48</v>
      </c>
      <c r="C27" s="7" t="n">
        <v>230000</v>
      </c>
      <c r="D27" s="9"/>
      <c r="E27" s="9"/>
      <c r="F27" s="9"/>
      <c r="G27" s="9"/>
      <c r="H27" s="10" t="s">
        <v>49</v>
      </c>
    </row>
    <row r="28" customFormat="false" ht="15" hidden="false" customHeight="false" outlineLevel="0" collapsed="false">
      <c r="B28" s="6" t="s">
        <v>50</v>
      </c>
      <c r="C28" s="7" t="n">
        <v>175000</v>
      </c>
      <c r="D28" s="9"/>
      <c r="E28" s="9"/>
      <c r="F28" s="9"/>
      <c r="G28" s="9"/>
      <c r="H28" s="10" t="s">
        <v>49</v>
      </c>
    </row>
    <row r="29" customFormat="false" ht="15" hidden="false" customHeight="false" outlineLevel="0" collapsed="false">
      <c r="B29" s="6" t="s">
        <v>51</v>
      </c>
      <c r="C29" s="7" t="n">
        <v>250000</v>
      </c>
      <c r="D29" s="9"/>
      <c r="E29" s="9"/>
      <c r="F29" s="9"/>
      <c r="G29" s="9"/>
      <c r="H29" s="10" t="s">
        <v>49</v>
      </c>
    </row>
    <row r="30" customFormat="false" ht="15" hidden="false" customHeight="false" outlineLevel="0" collapsed="false">
      <c r="B30" s="6" t="s">
        <v>52</v>
      </c>
      <c r="C30" s="7" t="n">
        <v>210000</v>
      </c>
      <c r="D30" s="9"/>
      <c r="E30" s="9"/>
      <c r="F30" s="9"/>
      <c r="G30" s="9"/>
      <c r="H30" s="10" t="s">
        <v>49</v>
      </c>
    </row>
    <row r="31" customFormat="false" ht="15" hidden="false" customHeight="false" outlineLevel="0" collapsed="false">
      <c r="B31" s="6" t="s">
        <v>53</v>
      </c>
      <c r="C31" s="7" t="n">
        <v>175000</v>
      </c>
      <c r="D31" s="9"/>
      <c r="E31" s="9"/>
      <c r="F31" s="9"/>
      <c r="G31" s="9"/>
      <c r="H31" s="10" t="s">
        <v>49</v>
      </c>
    </row>
    <row r="33" customFormat="false" ht="15" hidden="false" customHeight="false" outlineLevel="0" collapsed="false">
      <c r="B33" s="3" t="s">
        <v>54</v>
      </c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B34" s="5" t="s">
        <v>55</v>
      </c>
      <c r="C34" s="5" t="s">
        <v>56</v>
      </c>
      <c r="D34" s="5" t="s">
        <v>57</v>
      </c>
      <c r="E34" s="5" t="s">
        <v>58</v>
      </c>
      <c r="F34" s="5" t="s">
        <v>59</v>
      </c>
      <c r="G34" s="5" t="s">
        <v>60</v>
      </c>
      <c r="H34" s="5" t="s">
        <v>6</v>
      </c>
    </row>
    <row r="35" customFormat="false" ht="26.85" hidden="false" customHeight="false" outlineLevel="0" collapsed="false">
      <c r="B35" s="6" t="s">
        <v>61</v>
      </c>
      <c r="C35" s="7" t="n">
        <v>38000</v>
      </c>
      <c r="D35" s="11" t="n">
        <v>12</v>
      </c>
      <c r="E35" s="18" t="n">
        <v>0.2</v>
      </c>
      <c r="F35" s="19" t="s">
        <v>51</v>
      </c>
      <c r="G35" s="7" t="n">
        <v>1</v>
      </c>
      <c r="H35" s="10" t="s">
        <v>62</v>
      </c>
    </row>
    <row r="36" customFormat="false" ht="15" hidden="false" customHeight="false" outlineLevel="0" collapsed="false">
      <c r="B36" s="6" t="s">
        <v>63</v>
      </c>
      <c r="C36" s="7" t="n">
        <v>30000</v>
      </c>
      <c r="D36" s="11" t="n">
        <v>10</v>
      </c>
      <c r="E36" s="18" t="n">
        <v>0.2</v>
      </c>
      <c r="F36" s="19" t="s">
        <v>52</v>
      </c>
      <c r="G36" s="7" t="n">
        <v>1</v>
      </c>
      <c r="H36" s="10" t="s">
        <v>64</v>
      </c>
    </row>
    <row r="37" customFormat="false" ht="15" hidden="false" customHeight="false" outlineLevel="0" collapsed="false">
      <c r="B37" s="6" t="s">
        <v>65</v>
      </c>
      <c r="C37" s="7" t="n">
        <v>16000</v>
      </c>
      <c r="D37" s="11" t="n">
        <v>8</v>
      </c>
      <c r="E37" s="18" t="n">
        <v>0.2</v>
      </c>
      <c r="F37" s="19" t="s">
        <v>52</v>
      </c>
      <c r="G37" s="7" t="n">
        <v>1</v>
      </c>
      <c r="H37" s="10" t="s">
        <v>66</v>
      </c>
    </row>
    <row r="38" customFormat="false" ht="15" hidden="false" customHeight="false" outlineLevel="0" collapsed="false">
      <c r="B38" s="6" t="s">
        <v>67</v>
      </c>
      <c r="C38" s="7" t="n">
        <v>9000</v>
      </c>
      <c r="D38" s="11" t="n">
        <v>7</v>
      </c>
      <c r="E38" s="18" t="n">
        <v>0.2</v>
      </c>
      <c r="F38" s="19" t="s">
        <v>52</v>
      </c>
      <c r="G38" s="7" t="n">
        <v>0</v>
      </c>
      <c r="H38" s="10" t="s">
        <v>68</v>
      </c>
    </row>
    <row r="40" customFormat="false" ht="15" hidden="false" customHeight="false" outlineLevel="0" collapsed="false">
      <c r="B40" s="6" t="s">
        <v>69</v>
      </c>
      <c r="C40" s="7" t="n">
        <v>300000</v>
      </c>
      <c r="D40" s="14" t="s">
        <v>70</v>
      </c>
      <c r="E40" s="9"/>
      <c r="F40" s="9"/>
      <c r="G40" s="7" t="n">
        <v>1</v>
      </c>
      <c r="H40" s="10" t="s">
        <v>71</v>
      </c>
    </row>
    <row r="42" customFormat="false" ht="19.5" hidden="false" customHeight="true" outlineLevel="0" collapsed="false">
      <c r="B42" s="20" t="s">
        <v>72</v>
      </c>
      <c r="C42" s="20"/>
      <c r="D42" s="20"/>
      <c r="E42" s="20"/>
      <c r="F42" s="20"/>
      <c r="G42" s="20"/>
      <c r="H42" s="20"/>
    </row>
    <row r="43" customFormat="false" ht="15" hidden="false" customHeight="false" outlineLevel="0" collapsed="false">
      <c r="B43" s="20"/>
      <c r="C43" s="20"/>
      <c r="D43" s="20"/>
      <c r="E43" s="20"/>
      <c r="F43" s="20"/>
      <c r="G43" s="20"/>
      <c r="H43" s="20"/>
    </row>
  </sheetData>
  <mergeCells count="18">
    <mergeCell ref="E7:G7"/>
    <mergeCell ref="E8:G8"/>
    <mergeCell ref="E9:G9"/>
    <mergeCell ref="E10:G10"/>
    <mergeCell ref="E11:G11"/>
    <mergeCell ref="E12:G12"/>
    <mergeCell ref="E19:G19"/>
    <mergeCell ref="E20:G20"/>
    <mergeCell ref="E21:G21"/>
    <mergeCell ref="E22:G22"/>
    <mergeCell ref="E23:G23"/>
    <mergeCell ref="D27:G27"/>
    <mergeCell ref="D28:G28"/>
    <mergeCell ref="D29:G29"/>
    <mergeCell ref="D30:G30"/>
    <mergeCell ref="D31:G31"/>
    <mergeCell ref="E40:F40"/>
    <mergeCell ref="B42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11" min="9" style="0" width="12"/>
    <col collapsed="false" customWidth="true" hidden="false" outlineLevel="0" max="12" min="12" style="0" width="30"/>
  </cols>
  <sheetData>
    <row r="2" customFormat="false" ht="20.85" hidden="false" customHeight="false" outlineLevel="0" collapsed="false">
      <c r="B2" s="1" t="s">
        <v>73</v>
      </c>
    </row>
    <row r="3" customFormat="false" ht="15" hidden="false" customHeight="false" outlineLevel="0" collapsed="false">
      <c r="B3" s="2" t="s">
        <v>74</v>
      </c>
    </row>
    <row r="5" customFormat="false" ht="15" hidden="false" customHeight="false" outlineLevel="0" collapsed="false">
      <c r="B5" s="21" t="s">
        <v>75</v>
      </c>
      <c r="C5" s="21"/>
      <c r="D5" s="21"/>
      <c r="E5" s="22" t="n">
        <f aca="false">기초자료!C19</f>
        <v>3000</v>
      </c>
      <c r="G5" s="21" t="s">
        <v>76</v>
      </c>
      <c r="H5" s="21"/>
      <c r="I5" s="22" t="n">
        <f aca="false">기초자료!C20</f>
        <v>8</v>
      </c>
    </row>
    <row r="7" customFormat="false" ht="15" hidden="false" customHeight="false" outlineLevel="0" collapsed="false">
      <c r="B7" s="5" t="s">
        <v>77</v>
      </c>
      <c r="C7" s="5" t="s">
        <v>78</v>
      </c>
      <c r="D7" s="5" t="s">
        <v>79</v>
      </c>
      <c r="E7" s="5" t="s">
        <v>80</v>
      </c>
      <c r="F7" s="5" t="s">
        <v>5</v>
      </c>
      <c r="G7" s="5" t="s">
        <v>81</v>
      </c>
      <c r="H7" s="23" t="s">
        <v>82</v>
      </c>
      <c r="I7" s="5" t="s">
        <v>83</v>
      </c>
      <c r="J7" s="5" t="s">
        <v>84</v>
      </c>
      <c r="K7" s="5" t="s">
        <v>85</v>
      </c>
      <c r="L7" s="5" t="s">
        <v>6</v>
      </c>
    </row>
    <row r="8" customFormat="false" ht="26.85" hidden="false" customHeight="false" outlineLevel="0" collapsed="false">
      <c r="B8" s="14" t="s">
        <v>86</v>
      </c>
      <c r="C8" s="24" t="s">
        <v>48</v>
      </c>
      <c r="D8" s="14" t="s">
        <v>87</v>
      </c>
      <c r="E8" s="13" t="n">
        <v>1</v>
      </c>
      <c r="F8" s="14" t="s">
        <v>88</v>
      </c>
      <c r="G8" s="25" t="n">
        <f aca="false">기초자료!C27</f>
        <v>230000</v>
      </c>
      <c r="H8" s="14" t="n">
        <f aca="false">E8*G8</f>
        <v>230000</v>
      </c>
      <c r="I8" s="14" t="n">
        <v>0</v>
      </c>
      <c r="J8" s="14" t="n">
        <f aca="false">H8/$E$5</f>
        <v>76.6666666666667</v>
      </c>
      <c r="K8" s="14" t="n">
        <v>0</v>
      </c>
      <c r="L8" s="10" t="s">
        <v>89</v>
      </c>
    </row>
    <row r="9" customFormat="false" ht="15" hidden="false" customHeight="false" outlineLevel="0" collapsed="false">
      <c r="B9" s="14" t="s">
        <v>86</v>
      </c>
      <c r="C9" s="24" t="s">
        <v>50</v>
      </c>
      <c r="D9" s="14" t="s">
        <v>90</v>
      </c>
      <c r="E9" s="13" t="n">
        <v>2</v>
      </c>
      <c r="F9" s="14" t="s">
        <v>88</v>
      </c>
      <c r="G9" s="25" t="n">
        <f aca="false">기초자료!C28</f>
        <v>175000</v>
      </c>
      <c r="H9" s="14" t="n">
        <f aca="false">E9*G9</f>
        <v>350000</v>
      </c>
      <c r="I9" s="14" t="n">
        <v>0</v>
      </c>
      <c r="J9" s="14" t="n">
        <f aca="false">H9/$E$5</f>
        <v>116.666666666667</v>
      </c>
      <c r="K9" s="14" t="n">
        <v>0</v>
      </c>
      <c r="L9" s="10"/>
    </row>
    <row r="10" customFormat="false" ht="26.85" hidden="false" customHeight="false" outlineLevel="0" collapsed="false">
      <c r="B10" s="14" t="s">
        <v>86</v>
      </c>
      <c r="C10" s="24" t="s">
        <v>53</v>
      </c>
      <c r="D10" s="14" t="s">
        <v>91</v>
      </c>
      <c r="E10" s="13" t="n">
        <v>2</v>
      </c>
      <c r="F10" s="14" t="s">
        <v>88</v>
      </c>
      <c r="G10" s="25" t="n">
        <f aca="false">기초자료!C31</f>
        <v>175000</v>
      </c>
      <c r="H10" s="14" t="n">
        <f aca="false">E10*G10</f>
        <v>350000</v>
      </c>
      <c r="I10" s="14" t="n">
        <v>0</v>
      </c>
      <c r="J10" s="14" t="n">
        <f aca="false">H10/$E$5</f>
        <v>116.666666666667</v>
      </c>
      <c r="K10" s="14" t="n">
        <v>0</v>
      </c>
      <c r="L10" s="10"/>
    </row>
    <row r="11" customFormat="false" ht="15" hidden="false" customHeight="false" outlineLevel="0" collapsed="false">
      <c r="B11" s="14" t="s">
        <v>92</v>
      </c>
      <c r="C11" s="24" t="s">
        <v>93</v>
      </c>
      <c r="D11" s="14"/>
      <c r="E11" s="26" t="n">
        <f aca="false">기초자료!G35*$I$5</f>
        <v>8</v>
      </c>
      <c r="F11" s="8" t="s">
        <v>94</v>
      </c>
      <c r="G11" s="25" t="n">
        <f aca="false">기초자료!C35</f>
        <v>38000</v>
      </c>
      <c r="H11" s="14" t="n">
        <f aca="false">E11*G11</f>
        <v>304000</v>
      </c>
      <c r="I11" s="14" t="n">
        <v>0</v>
      </c>
      <c r="J11" s="14" t="n">
        <v>0</v>
      </c>
      <c r="K11" s="14" t="n">
        <f aca="false">H11/$E$5</f>
        <v>101.333333333333</v>
      </c>
      <c r="L11" s="10"/>
    </row>
    <row r="12" customFormat="false" ht="15" hidden="false" customHeight="false" outlineLevel="0" collapsed="false">
      <c r="B12" s="14" t="s">
        <v>92</v>
      </c>
      <c r="C12" s="24" t="s">
        <v>95</v>
      </c>
      <c r="D12" s="14" t="s">
        <v>96</v>
      </c>
      <c r="E12" s="26" t="n">
        <f aca="false">기초자료!G35*$I$5*기초자료!D35</f>
        <v>96</v>
      </c>
      <c r="F12" s="8" t="s">
        <v>97</v>
      </c>
      <c r="G12" s="25" t="n">
        <f aca="false">기초자료!C21*(1+기초자료!E35)</f>
        <v>1920</v>
      </c>
      <c r="H12" s="14" t="n">
        <f aca="false">E12*G12</f>
        <v>184320</v>
      </c>
      <c r="I12" s="14" t="n">
        <f aca="false">H12/$E$5</f>
        <v>61.44</v>
      </c>
      <c r="J12" s="14" t="n">
        <v>0</v>
      </c>
      <c r="K12" s="14" t="n">
        <v>0</v>
      </c>
      <c r="L12" s="10" t="s">
        <v>98</v>
      </c>
    </row>
    <row r="13" customFormat="false" ht="15" hidden="false" customHeight="false" outlineLevel="0" collapsed="false">
      <c r="B13" s="14" t="s">
        <v>92</v>
      </c>
      <c r="C13" s="24" t="s">
        <v>99</v>
      </c>
      <c r="D13" s="14"/>
      <c r="E13" s="26" t="n">
        <f aca="false">기초자료!G35</f>
        <v>1</v>
      </c>
      <c r="F13" s="14" t="s">
        <v>88</v>
      </c>
      <c r="G13" s="14" t="n">
        <f aca="false">INDEX(기초자료!C27:C31,MATCH(기초자료!F35,기초자료!B27:B31,0))</f>
        <v>250000</v>
      </c>
      <c r="H13" s="14" t="n">
        <f aca="false">E13*G13</f>
        <v>250000</v>
      </c>
      <c r="I13" s="14" t="n">
        <v>0</v>
      </c>
      <c r="J13" s="14" t="n">
        <f aca="false">H13/$E$5</f>
        <v>83.3333333333333</v>
      </c>
      <c r="K13" s="14" t="n">
        <v>0</v>
      </c>
      <c r="L13" s="10"/>
    </row>
    <row r="14" customFormat="false" ht="15" hidden="false" customHeight="false" outlineLevel="0" collapsed="false">
      <c r="B14" s="14" t="s">
        <v>92</v>
      </c>
      <c r="C14" s="24" t="s">
        <v>100</v>
      </c>
      <c r="D14" s="14"/>
      <c r="E14" s="26" t="n">
        <f aca="false">기초자료!G36*$I$5</f>
        <v>8</v>
      </c>
      <c r="F14" s="8" t="s">
        <v>94</v>
      </c>
      <c r="G14" s="25" t="n">
        <f aca="false">기초자료!C36</f>
        <v>30000</v>
      </c>
      <c r="H14" s="14" t="n">
        <f aca="false">E14*G14</f>
        <v>240000</v>
      </c>
      <c r="I14" s="14" t="n">
        <v>0</v>
      </c>
      <c r="J14" s="14" t="n">
        <v>0</v>
      </c>
      <c r="K14" s="14" t="n">
        <f aca="false">H14/$E$5</f>
        <v>80</v>
      </c>
      <c r="L14" s="10"/>
    </row>
    <row r="15" customFormat="false" ht="15" hidden="false" customHeight="false" outlineLevel="0" collapsed="false">
      <c r="B15" s="14" t="s">
        <v>92</v>
      </c>
      <c r="C15" s="24" t="s">
        <v>101</v>
      </c>
      <c r="D15" s="14" t="s">
        <v>96</v>
      </c>
      <c r="E15" s="26" t="n">
        <f aca="false">기초자료!G36*$I$5*기초자료!D36</f>
        <v>80</v>
      </c>
      <c r="F15" s="8" t="s">
        <v>97</v>
      </c>
      <c r="G15" s="25" t="n">
        <f aca="false">기초자료!C21*(1+기초자료!E36)</f>
        <v>1920</v>
      </c>
      <c r="H15" s="14" t="n">
        <f aca="false">E15*G15</f>
        <v>153600</v>
      </c>
      <c r="I15" s="14" t="n">
        <f aca="false">H15/$E$5</f>
        <v>51.2</v>
      </c>
      <c r="J15" s="14" t="n">
        <v>0</v>
      </c>
      <c r="K15" s="14" t="n">
        <v>0</v>
      </c>
      <c r="L15" s="10" t="s">
        <v>98</v>
      </c>
    </row>
    <row r="16" customFormat="false" ht="15" hidden="false" customHeight="false" outlineLevel="0" collapsed="false">
      <c r="B16" s="14" t="s">
        <v>92</v>
      </c>
      <c r="C16" s="24" t="s">
        <v>102</v>
      </c>
      <c r="D16" s="14"/>
      <c r="E16" s="26" t="n">
        <f aca="false">기초자료!G36</f>
        <v>1</v>
      </c>
      <c r="F16" s="14" t="s">
        <v>88</v>
      </c>
      <c r="G16" s="14" t="n">
        <f aca="false">INDEX(기초자료!C27:C31,MATCH(기초자료!F36,기초자료!B27:B31,0))</f>
        <v>210000</v>
      </c>
      <c r="H16" s="14" t="n">
        <f aca="false">E16*G16</f>
        <v>210000</v>
      </c>
      <c r="I16" s="14" t="n">
        <v>0</v>
      </c>
      <c r="J16" s="14" t="n">
        <f aca="false">H16/$E$5</f>
        <v>70</v>
      </c>
      <c r="K16" s="14" t="n">
        <v>0</v>
      </c>
      <c r="L16" s="10"/>
    </row>
    <row r="17" customFormat="false" ht="15" hidden="false" customHeight="false" outlineLevel="0" collapsed="false">
      <c r="B17" s="14" t="s">
        <v>92</v>
      </c>
      <c r="C17" s="24" t="s">
        <v>103</v>
      </c>
      <c r="D17" s="14"/>
      <c r="E17" s="26" t="n">
        <f aca="false">기초자료!G37*$I$5</f>
        <v>8</v>
      </c>
      <c r="F17" s="8" t="s">
        <v>94</v>
      </c>
      <c r="G17" s="25" t="n">
        <f aca="false">기초자료!C37</f>
        <v>16000</v>
      </c>
      <c r="H17" s="14" t="n">
        <f aca="false">E17*G17</f>
        <v>128000</v>
      </c>
      <c r="I17" s="14" t="n">
        <v>0</v>
      </c>
      <c r="J17" s="14" t="n">
        <v>0</v>
      </c>
      <c r="K17" s="14" t="n">
        <f aca="false">H17/$E$5</f>
        <v>42.6666666666667</v>
      </c>
      <c r="L17" s="10"/>
    </row>
    <row r="18" customFormat="false" ht="15" hidden="false" customHeight="false" outlineLevel="0" collapsed="false">
      <c r="B18" s="14" t="s">
        <v>92</v>
      </c>
      <c r="C18" s="24" t="s">
        <v>104</v>
      </c>
      <c r="D18" s="14" t="s">
        <v>96</v>
      </c>
      <c r="E18" s="26" t="n">
        <f aca="false">기초자료!G37*$I$5*기초자료!D37</f>
        <v>64</v>
      </c>
      <c r="F18" s="8" t="s">
        <v>97</v>
      </c>
      <c r="G18" s="25" t="n">
        <f aca="false">기초자료!C21*(1+기초자료!E37)</f>
        <v>1920</v>
      </c>
      <c r="H18" s="14" t="n">
        <f aca="false">E18*G18</f>
        <v>122880</v>
      </c>
      <c r="I18" s="14" t="n">
        <f aca="false">H18/$E$5</f>
        <v>40.96</v>
      </c>
      <c r="J18" s="14" t="n">
        <v>0</v>
      </c>
      <c r="K18" s="14" t="n">
        <v>0</v>
      </c>
      <c r="L18" s="10" t="s">
        <v>98</v>
      </c>
    </row>
    <row r="19" customFormat="false" ht="15" hidden="false" customHeight="false" outlineLevel="0" collapsed="false">
      <c r="B19" s="14" t="s">
        <v>92</v>
      </c>
      <c r="C19" s="24" t="s">
        <v>105</v>
      </c>
      <c r="D19" s="14"/>
      <c r="E19" s="26" t="n">
        <f aca="false">기초자료!G37</f>
        <v>1</v>
      </c>
      <c r="F19" s="14" t="s">
        <v>88</v>
      </c>
      <c r="G19" s="14" t="n">
        <f aca="false">INDEX(기초자료!C27:C31,MATCH(기초자료!F37,기초자료!B27:B31,0))</f>
        <v>210000</v>
      </c>
      <c r="H19" s="14" t="n">
        <f aca="false">E19*G19</f>
        <v>210000</v>
      </c>
      <c r="I19" s="14" t="n">
        <v>0</v>
      </c>
      <c r="J19" s="14" t="n">
        <f aca="false">H19/$E$5</f>
        <v>70</v>
      </c>
      <c r="K19" s="14" t="n">
        <v>0</v>
      </c>
      <c r="L19" s="10"/>
    </row>
    <row r="20" customFormat="false" ht="15" hidden="false" customHeight="false" outlineLevel="0" collapsed="false">
      <c r="B20" s="14" t="s">
        <v>92</v>
      </c>
      <c r="C20" s="24" t="s">
        <v>106</v>
      </c>
      <c r="D20" s="14"/>
      <c r="E20" s="26" t="n">
        <f aca="false">기초자료!G38*$I$5</f>
        <v>0</v>
      </c>
      <c r="F20" s="8" t="s">
        <v>94</v>
      </c>
      <c r="G20" s="25" t="n">
        <f aca="false">기초자료!C38</f>
        <v>9000</v>
      </c>
      <c r="H20" s="14" t="n">
        <f aca="false">E20*G20</f>
        <v>0</v>
      </c>
      <c r="I20" s="14" t="n">
        <v>0</v>
      </c>
      <c r="J20" s="14" t="n">
        <v>0</v>
      </c>
      <c r="K20" s="14" t="n">
        <f aca="false">H20/$E$5</f>
        <v>0</v>
      </c>
      <c r="L20" s="10"/>
    </row>
    <row r="21" customFormat="false" ht="15" hidden="false" customHeight="false" outlineLevel="0" collapsed="false">
      <c r="B21" s="14" t="s">
        <v>92</v>
      </c>
      <c r="C21" s="24" t="s">
        <v>107</v>
      </c>
      <c r="D21" s="14" t="s">
        <v>96</v>
      </c>
      <c r="E21" s="26" t="n">
        <f aca="false">기초자료!G38*$I$5*기초자료!D38</f>
        <v>0</v>
      </c>
      <c r="F21" s="8" t="s">
        <v>97</v>
      </c>
      <c r="G21" s="25" t="n">
        <f aca="false">기초자료!C21*(1+기초자료!E38)</f>
        <v>1920</v>
      </c>
      <c r="H21" s="14" t="n">
        <f aca="false">E21*G21</f>
        <v>0</v>
      </c>
      <c r="I21" s="14" t="n">
        <f aca="false">H21/$E$5</f>
        <v>0</v>
      </c>
      <c r="J21" s="14" t="n">
        <v>0</v>
      </c>
      <c r="K21" s="14" t="n">
        <v>0</v>
      </c>
      <c r="L21" s="10" t="s">
        <v>98</v>
      </c>
    </row>
    <row r="22" customFormat="false" ht="15" hidden="false" customHeight="false" outlineLevel="0" collapsed="false">
      <c r="B22" s="14" t="s">
        <v>92</v>
      </c>
      <c r="C22" s="24" t="s">
        <v>108</v>
      </c>
      <c r="D22" s="14"/>
      <c r="E22" s="26" t="n">
        <f aca="false">기초자료!G38</f>
        <v>0</v>
      </c>
      <c r="F22" s="14" t="s">
        <v>88</v>
      </c>
      <c r="G22" s="14" t="n">
        <f aca="false">INDEX(기초자료!C27:C31,MATCH(기초자료!F38,기초자료!B27:B31,0))</f>
        <v>210000</v>
      </c>
      <c r="H22" s="14" t="n">
        <f aca="false">E22*G22</f>
        <v>0</v>
      </c>
      <c r="I22" s="14" t="n">
        <v>0</v>
      </c>
      <c r="J22" s="14" t="n">
        <f aca="false">H22/$E$5</f>
        <v>0</v>
      </c>
      <c r="K22" s="14" t="n">
        <v>0</v>
      </c>
      <c r="L22" s="10"/>
    </row>
    <row r="23" customFormat="false" ht="15" hidden="false" customHeight="false" outlineLevel="0" collapsed="false">
      <c r="B23" s="14" t="s">
        <v>109</v>
      </c>
      <c r="C23" s="24" t="s">
        <v>110</v>
      </c>
      <c r="D23" s="14"/>
      <c r="E23" s="26" t="n">
        <f aca="false">기초자료!G40</f>
        <v>1</v>
      </c>
      <c r="F23" s="14" t="s">
        <v>111</v>
      </c>
      <c r="G23" s="25" t="n">
        <f aca="false">기초자료!C40</f>
        <v>300000</v>
      </c>
      <c r="H23" s="14" t="n">
        <f aca="false">E23*G23</f>
        <v>300000</v>
      </c>
      <c r="I23" s="14" t="n">
        <v>0</v>
      </c>
      <c r="J23" s="14" t="n">
        <v>0</v>
      </c>
      <c r="K23" s="14" t="n">
        <f aca="false">H23/$E$5</f>
        <v>100</v>
      </c>
      <c r="L23" s="10"/>
    </row>
    <row r="24" customFormat="false" ht="15" hidden="false" customHeight="false" outlineLevel="0" collapsed="false">
      <c r="B24" s="14" t="s">
        <v>109</v>
      </c>
      <c r="C24" s="24" t="s">
        <v>112</v>
      </c>
      <c r="D24" s="8" t="s">
        <v>113</v>
      </c>
      <c r="E24" s="26" t="n">
        <f aca="false">기초자료!C15*$E$5</f>
        <v>17.0046</v>
      </c>
      <c r="F24" s="8" t="s">
        <v>113</v>
      </c>
      <c r="G24" s="25" t="n">
        <f aca="false">기초자료!C23</f>
        <v>25000</v>
      </c>
      <c r="H24" s="14" t="n">
        <f aca="false">E24*G24</f>
        <v>425115</v>
      </c>
      <c r="I24" s="14" t="n">
        <v>0</v>
      </c>
      <c r="J24" s="14" t="n">
        <v>0</v>
      </c>
      <c r="K24" s="14" t="n">
        <f aca="false">H24/$E$5</f>
        <v>141.705</v>
      </c>
      <c r="L24" s="15" t="s">
        <v>114</v>
      </c>
    </row>
    <row r="25" customFormat="false" ht="15" hidden="false" customHeight="false" outlineLevel="0" collapsed="false">
      <c r="B25" s="14" t="s">
        <v>109</v>
      </c>
      <c r="C25" s="24" t="s">
        <v>115</v>
      </c>
      <c r="D25" s="14" t="s">
        <v>40</v>
      </c>
      <c r="E25" s="27" t="n">
        <f aca="false">기초자료!C22</f>
        <v>0.03</v>
      </c>
      <c r="F25" s="14" t="s">
        <v>116</v>
      </c>
      <c r="G25" s="14" t="n">
        <f aca="false">SUM(J8:J24)*$E$5</f>
        <v>1600000</v>
      </c>
      <c r="H25" s="14" t="n">
        <f aca="false">E25*G25</f>
        <v>48000</v>
      </c>
      <c r="I25" s="14" t="n">
        <v>0</v>
      </c>
      <c r="J25" s="14" t="n">
        <v>0</v>
      </c>
      <c r="K25" s="14" t="n">
        <f aca="false">H25/$E$5</f>
        <v>16</v>
      </c>
      <c r="L25" s="10" t="s">
        <v>117</v>
      </c>
    </row>
    <row r="26" customFormat="false" ht="15" hidden="false" customHeight="true" outlineLevel="0" collapsed="false">
      <c r="B26" s="28" t="s">
        <v>118</v>
      </c>
      <c r="C26" s="28"/>
      <c r="D26" s="28"/>
      <c r="E26" s="28"/>
      <c r="F26" s="28"/>
      <c r="G26" s="28"/>
      <c r="H26" s="29" t="n">
        <f aca="false">SUM(H8:H25)</f>
        <v>3505915</v>
      </c>
      <c r="I26" s="29" t="n">
        <f aca="false">SUM(I8:I25)</f>
        <v>153.6</v>
      </c>
      <c r="J26" s="29" t="n">
        <f aca="false">SUM(J8:J25)</f>
        <v>533.333333333333</v>
      </c>
      <c r="K26" s="29" t="n">
        <f aca="false">SUM(K8:K25)</f>
        <v>481.705</v>
      </c>
      <c r="L26" s="30"/>
    </row>
    <row r="28" customFormat="false" ht="15" hidden="false" customHeight="false" outlineLevel="0" collapsed="false">
      <c r="B28" s="31" t="s">
        <v>119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false" outlineLevel="0" collapsed="false">
      <c r="B29" s="5"/>
      <c r="C29" s="5" t="s">
        <v>120</v>
      </c>
      <c r="D29" s="5" t="s">
        <v>79</v>
      </c>
      <c r="E29" s="5" t="s">
        <v>5</v>
      </c>
      <c r="F29" s="5"/>
      <c r="G29" s="5" t="s">
        <v>121</v>
      </c>
      <c r="H29" s="5" t="s">
        <v>122</v>
      </c>
      <c r="I29" s="5" t="s">
        <v>109</v>
      </c>
      <c r="J29" s="5" t="s">
        <v>118</v>
      </c>
      <c r="K29" s="5"/>
      <c r="L29" s="5" t="s">
        <v>6</v>
      </c>
    </row>
    <row r="30" customFormat="false" ht="25.35" hidden="false" customHeight="false" outlineLevel="0" collapsed="false">
      <c r="B30" s="14"/>
      <c r="C30" s="24" t="s">
        <v>123</v>
      </c>
      <c r="D30" s="14" t="str">
        <f aca="false">TEXT(기초자료!C7,"0")&amp;"×"&amp;TEXT(기초자료!C8,"0")&amp;"×"&amp;TEXT(기초자료!C9,"0")&amp;"mm"</f>
        <v>400×180×15mm</v>
      </c>
      <c r="E30" s="8" t="s">
        <v>124</v>
      </c>
      <c r="F30" s="32"/>
      <c r="G30" s="14" t="n">
        <f aca="false">ROUNDDOWN(I26,0)</f>
        <v>153</v>
      </c>
      <c r="H30" s="14" t="n">
        <f aca="false">ROUNDDOWN(J26,0)</f>
        <v>533</v>
      </c>
      <c r="I30" s="14" t="n">
        <f aca="false">ROUNDDOWN(K26,0)</f>
        <v>481</v>
      </c>
      <c r="J30" s="29" t="n">
        <f aca="false">SUM(G30:I30)</f>
        <v>1167</v>
      </c>
      <c r="K30" s="32"/>
      <c r="L30" s="10" t="s">
        <v>125</v>
      </c>
    </row>
    <row r="31" customFormat="false" ht="15" hidden="false" customHeight="false" outlineLevel="0" collapsed="false">
      <c r="B31" s="14"/>
      <c r="C31" s="24" t="s">
        <v>126</v>
      </c>
      <c r="D31" s="8" t="s">
        <v>127</v>
      </c>
      <c r="E31" s="14" t="s">
        <v>128</v>
      </c>
      <c r="F31" s="32"/>
      <c r="G31" s="14" t="n">
        <f aca="false">ROUNDDOWN(G30/기초자료!$C$13,0)</f>
        <v>45</v>
      </c>
      <c r="H31" s="14" t="n">
        <f aca="false">ROUNDDOWN(H30/기초자료!$C$13,0)</f>
        <v>159</v>
      </c>
      <c r="I31" s="14" t="n">
        <f aca="false">ROUNDDOWN(I30/기초자료!$C$13,0)</f>
        <v>144</v>
      </c>
      <c r="J31" s="29" t="n">
        <f aca="false">SUM(G31:I31)</f>
        <v>348</v>
      </c>
      <c r="K31" s="32"/>
      <c r="L31" s="15" t="s">
        <v>129</v>
      </c>
    </row>
    <row r="33" customFormat="false" ht="15" hidden="false" customHeight="true" outlineLevel="0" collapsed="false">
      <c r="B33" s="33" t="s">
        <v>130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</row>
    <row r="34" customFormat="false" ht="15" hidden="false" customHeight="false" outlineLevel="0" collapsed="false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</sheetData>
  <mergeCells count="4">
    <mergeCell ref="B5:D5"/>
    <mergeCell ref="G5:H5"/>
    <mergeCell ref="B26:G26"/>
    <mergeCell ref="B33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6" min="3" style="0" width="16"/>
    <col collapsed="false" customWidth="true" hidden="false" outlineLevel="0" max="7" min="7" style="0" width="30"/>
  </cols>
  <sheetData>
    <row r="2" customFormat="false" ht="20.85" hidden="false" customHeight="false" outlineLevel="0" collapsed="false">
      <c r="B2" s="34" t="s">
        <v>131</v>
      </c>
    </row>
    <row r="3" customFormat="false" ht="15" hidden="false" customHeight="false" outlineLevel="0" collapsed="false">
      <c r="B3" s="2" t="s">
        <v>132</v>
      </c>
    </row>
    <row r="5" customFormat="false" ht="15" hidden="false" customHeight="false" outlineLevel="0" collapsed="false">
      <c r="B5" s="23" t="s">
        <v>133</v>
      </c>
      <c r="C5" s="5" t="s">
        <v>134</v>
      </c>
      <c r="D5" s="5" t="s">
        <v>135</v>
      </c>
      <c r="E5" s="23" t="s">
        <v>136</v>
      </c>
      <c r="F5" s="5" t="s">
        <v>137</v>
      </c>
      <c r="G5" s="5" t="s">
        <v>6</v>
      </c>
    </row>
    <row r="6" customFormat="false" ht="15" hidden="false" customHeight="false" outlineLevel="0" collapsed="false">
      <c r="B6" s="7" t="n">
        <v>1000</v>
      </c>
      <c r="C6" s="25" t="n">
        <f aca="false">단가산출서!H26-단가산출서!H24</f>
        <v>3080800</v>
      </c>
      <c r="D6" s="25" t="n">
        <f aca="false">기초자료!$C$15*기초자료!$C$23</f>
        <v>141.705</v>
      </c>
      <c r="E6" s="35" t="n">
        <f aca="false">ROUNDDOWN(C6/B6+D6,0)</f>
        <v>3222</v>
      </c>
      <c r="F6" s="14" t="n">
        <f aca="false">ROUNDDOWN(E6/기초자료!$C$13,0)</f>
        <v>966</v>
      </c>
      <c r="G6" s="10"/>
    </row>
    <row r="7" customFormat="false" ht="15" hidden="false" customHeight="false" outlineLevel="0" collapsed="false">
      <c r="B7" s="7" t="n">
        <v>1500</v>
      </c>
      <c r="C7" s="25" t="n">
        <f aca="false">단가산출서!H26-단가산출서!H24</f>
        <v>3080800</v>
      </c>
      <c r="D7" s="25" t="n">
        <f aca="false">기초자료!$C$15*기초자료!$C$23</f>
        <v>141.705</v>
      </c>
      <c r="E7" s="35" t="n">
        <f aca="false">ROUNDDOWN(C7/B7+D7,0)</f>
        <v>2195</v>
      </c>
      <c r="F7" s="14" t="n">
        <f aca="false">ROUNDDOWN(E7/기초자료!$C$13,0)</f>
        <v>658</v>
      </c>
      <c r="G7" s="10"/>
    </row>
    <row r="8" customFormat="false" ht="15" hidden="false" customHeight="false" outlineLevel="0" collapsed="false">
      <c r="B8" s="7" t="n">
        <v>2000</v>
      </c>
      <c r="C8" s="25" t="n">
        <f aca="false">단가산출서!H26-단가산출서!H24</f>
        <v>3080800</v>
      </c>
      <c r="D8" s="25" t="n">
        <f aca="false">기초자료!$C$15*기초자료!$C$23</f>
        <v>141.705</v>
      </c>
      <c r="E8" s="35" t="n">
        <f aca="false">ROUNDDOWN(C8/B8+D8,0)</f>
        <v>1682</v>
      </c>
      <c r="F8" s="14" t="n">
        <f aca="false">ROUNDDOWN(E8/기초자료!$C$13,0)</f>
        <v>504</v>
      </c>
      <c r="G8" s="10"/>
    </row>
    <row r="9" customFormat="false" ht="15" hidden="false" customHeight="false" outlineLevel="0" collapsed="false">
      <c r="B9" s="7" t="n">
        <v>2500</v>
      </c>
      <c r="C9" s="25" t="n">
        <f aca="false">단가산출서!H26-단가산출서!H24</f>
        <v>3080800</v>
      </c>
      <c r="D9" s="25" t="n">
        <f aca="false">기초자료!$C$15*기초자료!$C$23</f>
        <v>141.705</v>
      </c>
      <c r="E9" s="35" t="n">
        <f aca="false">ROUNDDOWN(C9/B9+D9,0)</f>
        <v>1374</v>
      </c>
      <c r="F9" s="14" t="n">
        <f aca="false">ROUNDDOWN(E9/기초자료!$C$13,0)</f>
        <v>412</v>
      </c>
      <c r="G9" s="10"/>
    </row>
    <row r="10" customFormat="false" ht="15" hidden="false" customHeight="false" outlineLevel="0" collapsed="false">
      <c r="B10" s="7" t="n">
        <v>3000</v>
      </c>
      <c r="C10" s="25" t="n">
        <f aca="false">단가산출서!H26-단가산출서!H24</f>
        <v>3080800</v>
      </c>
      <c r="D10" s="25" t="n">
        <f aca="false">기초자료!$C$15*기초자료!$C$23</f>
        <v>141.705</v>
      </c>
      <c r="E10" s="35" t="n">
        <f aca="false">ROUNDDOWN(C10/B10+D10,0)</f>
        <v>1168</v>
      </c>
      <c r="F10" s="14" t="n">
        <f aca="false">ROUNDDOWN(E10/기초자료!$C$13,0)</f>
        <v>350</v>
      </c>
      <c r="G10" s="10" t="s">
        <v>138</v>
      </c>
    </row>
    <row r="11" customFormat="false" ht="15" hidden="false" customHeight="false" outlineLevel="0" collapsed="false">
      <c r="B11" s="7" t="n">
        <v>4000</v>
      </c>
      <c r="C11" s="25" t="n">
        <f aca="false">단가산출서!H26-단가산출서!H24</f>
        <v>3080800</v>
      </c>
      <c r="D11" s="25" t="n">
        <f aca="false">기초자료!$C$15*기초자료!$C$23</f>
        <v>141.705</v>
      </c>
      <c r="E11" s="35" t="n">
        <f aca="false">ROUNDDOWN(C11/B11+D11,0)</f>
        <v>911</v>
      </c>
      <c r="F11" s="14" t="n">
        <f aca="false">ROUNDDOWN(E11/기초자료!$C$13,0)</f>
        <v>273</v>
      </c>
      <c r="G11" s="10"/>
    </row>
    <row r="12" customFormat="false" ht="15" hidden="false" customHeight="false" outlineLevel="0" collapsed="false">
      <c r="B12" s="7" t="n">
        <v>5000</v>
      </c>
      <c r="C12" s="25" t="n">
        <f aca="false">단가산출서!H26-단가산출서!H24</f>
        <v>3080800</v>
      </c>
      <c r="D12" s="25" t="n">
        <f aca="false">기초자료!$C$15*기초자료!$C$23</f>
        <v>141.705</v>
      </c>
      <c r="E12" s="35" t="n">
        <f aca="false">ROUNDDOWN(C12/B12+D12,0)</f>
        <v>757</v>
      </c>
      <c r="F12" s="14" t="n">
        <f aca="false">ROUNDDOWN(E12/기초자료!$C$13,0)</f>
        <v>227</v>
      </c>
      <c r="G12" s="10"/>
    </row>
    <row r="13" customFormat="false" ht="15" hidden="false" customHeight="false" outlineLevel="0" collapsed="false">
      <c r="B13" s="7" t="n">
        <v>6000</v>
      </c>
      <c r="C13" s="25" t="n">
        <f aca="false">단가산출서!H26-단가산출서!H24</f>
        <v>3080800</v>
      </c>
      <c r="D13" s="25" t="n">
        <f aca="false">기초자료!$C$15*기초자료!$C$23</f>
        <v>141.705</v>
      </c>
      <c r="E13" s="35" t="n">
        <f aca="false">ROUNDDOWN(C13/B13+D13,0)</f>
        <v>655</v>
      </c>
      <c r="F13" s="14" t="n">
        <f aca="false">ROUNDDOWN(E13/기초자료!$C$13,0)</f>
        <v>196</v>
      </c>
      <c r="G1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2026-10-07T01:01:25Z</dcterms:created>
  <dc:creator>openpyxl</dc:creator>
  <dc:description/>
  <dc:language>en-US</dc:language>
  <cp:lastModifiedBy/>
  <dcterms:modified xsi:type="dcterms:W3CDTF">2026-10-07T01:01:25Z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