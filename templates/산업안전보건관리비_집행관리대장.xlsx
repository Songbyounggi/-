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집행내역 관리대장" sheetId="2" state="visible" r:id="rId4"/>
    <sheet name="항목별 집행현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<sst xmlns="http://schemas.openxmlformats.org/spreadsheetml/2006/main" count="99" uniqueCount="85">
  <si>
    <t xml:space="preserve">산업안전보건관리비 집행 관리대장</t>
  </si>
  <si>
    <r>
      <rPr>
        <i val="true"/>
        <sz val="11"/>
        <color rgb="FF595959"/>
        <rFont val="맑은 고딕"/>
        <family val="0"/>
        <charset val="1"/>
      </rPr>
      <t xml:space="preserve">(</t>
    </r>
    <r>
      <rPr>
        <i val="true"/>
        <sz val="11"/>
        <color rgb="FF595959"/>
        <rFont val="WenQuanYi Zen Hei"/>
        <family val="2"/>
      </rPr>
      <t xml:space="preserve">건설업 산업안전보건관리비 계상 및 사용기준 </t>
    </r>
    <r>
      <rPr>
        <i val="true"/>
        <sz val="11"/>
        <color rgb="FF595959"/>
        <rFont val="맑은 고딕"/>
        <family val="0"/>
        <charset val="1"/>
      </rPr>
      <t xml:space="preserve">- </t>
    </r>
    <r>
      <rPr>
        <i val="true"/>
        <sz val="11"/>
        <color rgb="FF595959"/>
        <rFont val="WenQuanYi Zen Hei"/>
        <family val="2"/>
      </rPr>
      <t xml:space="preserve">고용노동부 고시 기준</t>
    </r>
    <r>
      <rPr>
        <i val="true"/>
        <sz val="11"/>
        <color rgb="FF595959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</si>
  <si>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현장 개요</t>
    </r>
  </si>
  <si>
    <r>
      <rPr>
        <b val="true"/>
        <sz val="10"/>
        <rFont val="WenQuanYi Zen Hei"/>
        <family val="2"/>
      </rPr>
      <t xml:space="preserve">현장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사업장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명</t>
    </r>
  </si>
  <si>
    <t xml:space="preserve">공사명</t>
  </si>
  <si>
    <t xml:space="preserve">시공사</t>
  </si>
  <si>
    <t xml:space="preserve">공사기간</t>
  </si>
  <si>
    <t xml:space="preserve">도급금액</t>
  </si>
  <si>
    <t xml:space="preserve">관리책임자</t>
  </si>
  <si>
    <t xml:space="preserve">산업안전보건관리비 계상총액</t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</si>
  <si>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사용 가능 항목 </t>
    </r>
    <r>
      <rPr>
        <b val="true"/>
        <sz val="11"/>
        <rFont val="맑은 고딕"/>
        <family val="0"/>
        <charset val="1"/>
      </rPr>
      <t xml:space="preserve">(7</t>
    </r>
    <r>
      <rPr>
        <b val="true"/>
        <sz val="11"/>
        <rFont val="WenQuanYi Zen Hei"/>
        <family val="2"/>
      </rPr>
      <t xml:space="preserve">개 항목 </t>
    </r>
    <r>
      <rPr>
        <b val="true"/>
        <sz val="11"/>
        <rFont val="맑은 고딕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본사 사용분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</si>
  <si>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안전관리자 등 인건비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업무수당</t>
    </r>
  </si>
  <si>
    <r>
      <rPr>
        <sz val="10"/>
        <rFont val="WenQuanYi Zen Hei"/>
        <family val="2"/>
      </rPr>
      <t xml:space="preserve">전담 안전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보건관리자 임금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겸임 관리감독자 업무수당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월급여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이내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등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</si>
  <si>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안전시설비 등</t>
    </r>
  </si>
  <si>
    <r>
      <rPr>
        <sz val="10"/>
        <rFont val="WenQuanYi Zen Hei"/>
        <family val="2"/>
      </rPr>
      <t xml:space="preserve">안전난간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추락방호망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방호장치 설치비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스마트 안전장비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총액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이내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등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</si>
  <si>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보호구 등</t>
    </r>
  </si>
  <si>
    <r>
      <rPr>
        <sz val="10"/>
        <rFont val="WenQuanYi Zen Hei"/>
        <family val="2"/>
      </rPr>
      <t xml:space="preserve">안전인증 대상 보호구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안전모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안전화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마스크 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구입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관리비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</si>
  <si>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안전보건진단비 등</t>
    </r>
  </si>
  <si>
    <r>
      <rPr>
        <sz val="10"/>
        <rFont val="WenQuanYi Zen Hei"/>
        <family val="2"/>
      </rPr>
      <t xml:space="preserve">유해위험방지계획서 작성비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안전보건진단비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작업환경측정비 등</t>
    </r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</si>
  <si>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안전보건교육비 등</t>
    </r>
  </si>
  <si>
    <r>
      <rPr>
        <sz val="10"/>
        <rFont val="WenQuanYi Zen Hei"/>
        <family val="2"/>
      </rPr>
      <t xml:space="preserve">법정 안전보건교육 실시비용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교육장 설치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운영비</t>
    </r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</si>
  <si>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근로자 건강장해예방비 등</t>
    </r>
  </si>
  <si>
    <r>
      <rPr>
        <sz val="10"/>
        <rFont val="WenQuanYi Zen Hei"/>
        <family val="2"/>
      </rPr>
      <t xml:space="preserve">휴게시설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위생시설 설치비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감염병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폭염한파 예방 물품 등</t>
    </r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</si>
  <si>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WenQuanYi Zen Hei"/>
        <family val="2"/>
      </rPr>
      <t xml:space="preserve">건설재해예방 기술지도비</t>
    </r>
  </si>
  <si>
    <t xml:space="preserve">건설재해예방전문지도기관 기술지도 대가</t>
  </si>
  <si>
    <r>
      <rPr>
        <b val="true"/>
        <sz val="10"/>
        <rFont val="맑은 고딕"/>
        <family val="0"/>
        <charset val="1"/>
      </rPr>
      <t xml:space="preserve">8. </t>
    </r>
    <r>
      <rPr>
        <b val="true"/>
        <sz val="10"/>
        <rFont val="WenQuanYi Zen Hei"/>
        <family val="2"/>
      </rPr>
      <t xml:space="preserve">본사 사용분</t>
    </r>
  </si>
  <si>
    <r>
      <rPr>
        <sz val="10"/>
        <rFont val="WenQuanYi Zen Hei"/>
        <family val="2"/>
      </rPr>
      <t xml:space="preserve">본사 안전전담부서 인건비 등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총액의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한도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해당 기업만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</si>
  <si>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사용 불가 항목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예시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</si>
  <si>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공사 수행에 직접 필요한 통상적인 시설물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작업발판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거푸집 등 본공사용 자재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장비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일반 작업복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방한복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혹한기 옥외작업자용 등 예외 인정 항목 제외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품질관리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환경관리 목적 비용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민원 처리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홍보 목적 비용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</si>
  <si>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구성</t>
    </r>
  </si>
  <si>
    <t xml:space="preserve">① 집행내역 관리대장</t>
  </si>
  <si>
    <r>
      <rPr>
        <sz val="10"/>
        <rFont val="WenQuanYi Zen Hei"/>
        <family val="2"/>
      </rPr>
      <t xml:space="preserve">항목별 집행 건별 상세 기록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항목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내역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증빙</t>
    </r>
    <r>
      <rPr>
        <sz val="10"/>
        <rFont val="맑은 고딕"/>
        <family val="0"/>
        <charset val="1"/>
      </rPr>
      <t xml:space="preserve">)</t>
    </r>
  </si>
  <si>
    <t xml:space="preserve">② 항목별 집행현황</t>
  </si>
  <si>
    <r>
      <rPr>
        <sz val="10"/>
        <rFont val="WenQuanYi Zen Hei"/>
        <family val="2"/>
      </rPr>
      <t xml:space="preserve">항목별 집행누계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집행률 자동 집계 및 예산 대비 잔액 확인</t>
    </r>
  </si>
  <si>
    <r>
      <rPr>
        <i val="true"/>
        <sz val="9"/>
        <color rgb="FF808080"/>
        <rFont val="WenQuanYi Zen Hei"/>
        <family val="2"/>
      </rPr>
      <t xml:space="preserve">※ 노란색 셀에 현장 정보 및 계상총액을 입력하세요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최신 고용노동부 고시 기준을 반드시 확인하여 사용하십시오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</si>
  <si>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산업안전보건관리비 집행내역 관리대장</t>
  </si>
  <si>
    <r>
      <rPr>
        <b val="true"/>
        <sz val="10"/>
        <rFont val="WenQuanYi Zen Hei"/>
        <family val="2"/>
      </rPr>
      <t xml:space="preserve">현장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사업장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</si>
  <si>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계상총액</t>
    </r>
    <r>
      <rPr>
        <b val="true"/>
        <sz val="10"/>
        <rFont val="맑은 고딕"/>
        <family val="0"/>
        <charset val="1"/>
      </rPr>
      <t xml:space="preserve">:</t>
    </r>
  </si>
  <si>
    <t xml:space="preserve">No</t>
  </si>
  <si>
    <t xml:space="preserve">집행일자</t>
  </si>
  <si>
    <t xml:space="preserve">사용항목</t>
  </si>
  <si>
    <t xml:space="preserve">세부 사용내역</t>
  </si>
  <si>
    <r>
      <rPr>
        <b val="true"/>
        <sz val="10"/>
        <rFont val="WenQuanYi Zen Hei"/>
        <family val="2"/>
      </rPr>
      <t xml:space="preserve">규격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수량</t>
    </r>
  </si>
  <si>
    <t xml:space="preserve">단가</t>
  </si>
  <si>
    <t xml:space="preserve">집행금액</t>
  </si>
  <si>
    <r>
      <rPr>
        <b val="true"/>
        <sz val="10"/>
        <rFont val="WenQuanYi Zen Hei"/>
        <family val="2"/>
      </rPr>
      <t xml:space="preserve">구입처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지급처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</si>
  <si>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증빙자료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세금계산서 등</t>
    </r>
    <r>
      <rPr>
        <b val="true"/>
        <sz val="10"/>
        <rFont val="맑은 고딕"/>
        <family val="0"/>
        <charset val="1"/>
      </rPr>
      <t xml:space="preserve">)</t>
    </r>
  </si>
  <si>
    <t xml:space="preserve">비고</t>
  </si>
  <si>
    <t xml:space="preserve">2026-03-05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</si>
  <si>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안전시설비 등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</si>
  <si>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 개구부 안전난간 및 추락방호망 설치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</si>
  <si>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조</t>
    </r>
  </si>
  <si>
    <t xml:space="preserve">㈜한국안전산업</t>
  </si>
  <si>
    <t xml:space="preserve">세금계산서</t>
  </si>
  <si>
    <t xml:space="preserve">2026-03-10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</si>
  <si>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보호구 등</t>
    </r>
  </si>
  <si>
    <r>
      <rPr>
        <sz val="10"/>
        <rFont val="WenQuanYi Zen Hei"/>
        <family val="2"/>
      </rPr>
      <t xml:space="preserve">안전모</t>
    </r>
    <r>
      <rPr>
        <sz val="10"/>
        <rFont val="맑은 고딕"/>
        <family val="0"/>
        <charset val="1"/>
      </rPr>
      <t xml:space="preserve">(KCs 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구입</t>
    </r>
  </si>
  <si>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개</t>
    </r>
  </si>
  <si>
    <t xml:space="preserve">안전보호구마트</t>
  </si>
  <si>
    <t xml:space="preserve">카드영수증</t>
  </si>
  <si>
    <t xml:space="preserve">2026-03-15</t>
  </si>
  <si>
    <r>
      <rPr>
        <sz val="10"/>
        <rFont val="맑은 고딕"/>
        <family val="0"/>
        <charset val="1"/>
      </rPr>
      <t xml:space="preserve">5. </t>
    </r>
    <r>
      <rPr>
        <sz val="10"/>
        <rFont val="WenQuanYi Zen Hei"/>
        <family val="2"/>
      </rPr>
      <t xml:space="preserve">안전보건교육비 등</t>
    </r>
  </si>
  <si>
    <t xml:space="preserve">신규 채용자 정기 안전보건교육 실시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</si>
  <si>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식</t>
    </r>
  </si>
  <si>
    <t xml:space="preserve">대한산업안전교육원</t>
  </si>
  <si>
    <t xml:space="preserve">2026-03-20</t>
  </si>
  <si>
    <r>
      <rPr>
        <sz val="10"/>
        <rFont val="맑은 고딕"/>
        <family val="0"/>
        <charset val="1"/>
      </rPr>
      <t xml:space="preserve">6. </t>
    </r>
    <r>
      <rPr>
        <sz val="10"/>
        <rFont val="WenQuanYi Zen Hei"/>
        <family val="2"/>
      </rPr>
      <t xml:space="preserve">근로자 건강장해예방비 등</t>
    </r>
  </si>
  <si>
    <t xml:space="preserve">근로자 휴게시설 냉난방기 설치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</si>
  <si>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대</t>
    </r>
  </si>
  <si>
    <t xml:space="preserve">㈜에어컴</t>
  </si>
  <si>
    <t xml:space="preserve">2026-03-25</t>
  </si>
  <si>
    <r>
      <rPr>
        <sz val="10"/>
        <rFont val="맑은 고딕"/>
        <family val="0"/>
        <charset val="1"/>
      </rPr>
      <t xml:space="preserve">7. </t>
    </r>
    <r>
      <rPr>
        <sz val="10"/>
        <rFont val="WenQuanYi Zen Hei"/>
        <family val="2"/>
      </rPr>
      <t xml:space="preserve">건설재해예방 기술지도비</t>
    </r>
  </si>
  <si>
    <r>
      <rPr>
        <sz val="10"/>
        <rFont val="WenQuanYi Zen Hei"/>
        <family val="2"/>
      </rPr>
      <t xml:space="preserve">건설재해예방 기술지도 대가 지급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월분</t>
    </r>
    <r>
      <rPr>
        <sz val="10"/>
        <rFont val="맑은 고딕"/>
        <family val="0"/>
        <charset val="1"/>
      </rPr>
      <t xml:space="preserve">)</t>
    </r>
  </si>
  <si>
    <t xml:space="preserve">한국건설안전기술협회</t>
  </si>
  <si>
    <t xml:space="preserve">합계</t>
  </si>
  <si>
    <r>
      <rPr>
        <i val="true"/>
        <sz val="9"/>
        <color rgb="FF808080"/>
        <rFont val="WenQuanYi Zen Hei"/>
        <family val="2"/>
      </rPr>
      <t xml:space="preserve">※ 회색 음영</t>
    </r>
    <r>
      <rPr>
        <i val="true"/>
        <sz val="9"/>
        <color rgb="FF808080"/>
        <rFont val="맑은 고딕"/>
        <family val="0"/>
        <charset val="1"/>
      </rPr>
      <t xml:space="preserve">(1~5</t>
    </r>
    <r>
      <rPr>
        <i val="true"/>
        <sz val="9"/>
        <color rgb="FF808080"/>
        <rFont val="WenQuanYi Zen Hei"/>
        <family val="2"/>
      </rPr>
      <t xml:space="preserve">행</t>
    </r>
    <r>
      <rPr>
        <i val="true"/>
        <sz val="9"/>
        <color rgb="FF808080"/>
        <rFont val="맑은 고딕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은 작성 예시입니다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노란색 셀에 직접 입력하십시오</t>
    </r>
    <r>
      <rPr>
        <i val="true"/>
        <sz val="9"/>
        <color rgb="FF808080"/>
        <rFont val="맑은 고딕"/>
        <family val="0"/>
        <charset val="1"/>
      </rPr>
      <t xml:space="preserve">. '</t>
    </r>
    <r>
      <rPr>
        <i val="true"/>
        <sz val="9"/>
        <color rgb="FF808080"/>
        <rFont val="WenQuanYi Zen Hei"/>
        <family val="2"/>
      </rPr>
      <t xml:space="preserve">사용항목</t>
    </r>
    <r>
      <rPr>
        <i val="true"/>
        <sz val="9"/>
        <color rgb="FF808080"/>
        <rFont val="맑은 고딕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은 드롭다운 목록에서 선택하고</t>
    </r>
    <r>
      <rPr>
        <i val="true"/>
        <sz val="9"/>
        <color rgb="FF808080"/>
        <rFont val="맑은 고딕"/>
        <family val="0"/>
        <charset val="1"/>
      </rPr>
      <t xml:space="preserve">, '</t>
    </r>
    <r>
      <rPr>
        <i val="true"/>
        <sz val="9"/>
        <color rgb="FF808080"/>
        <rFont val="WenQuanYi Zen Hei"/>
        <family val="2"/>
      </rPr>
      <t xml:space="preserve">집행금액</t>
    </r>
    <r>
      <rPr>
        <i val="true"/>
        <sz val="9"/>
        <color rgb="FF808080"/>
        <rFont val="맑은 고딕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은 단가</t>
    </r>
    <r>
      <rPr>
        <i val="true"/>
        <sz val="9"/>
        <color rgb="FF808080"/>
        <rFont val="맑은 고딕"/>
        <family val="0"/>
        <charset val="1"/>
      </rPr>
      <t xml:space="preserve">×</t>
    </r>
    <r>
      <rPr>
        <i val="true"/>
        <sz val="9"/>
        <color rgb="FF808080"/>
        <rFont val="WenQuanYi Zen Hei"/>
        <family val="2"/>
      </rPr>
      <t xml:space="preserve">수량을 반영하여 직접 입력하거나 단가 입력 시 자동 표시됩니다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</si>
  <si>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항목별 집행현황</t>
  </si>
  <si>
    <t xml:space="preserve">집행누계</t>
  </si>
  <si>
    <t xml:space="preserve">잔액</t>
  </si>
  <si>
    <t xml:space="preserve">집행건수</t>
  </si>
  <si>
    <t xml:space="preserve">구성비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</si>
  <si>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안전관리자 등 인건비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업무수당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</si>
  <si>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안전보건진단비 등</t>
    </r>
  </si>
  <si>
    <r>
      <rPr>
        <sz val="10"/>
        <rFont val="맑은 고딕"/>
        <family val="0"/>
        <charset val="1"/>
      </rPr>
      <t xml:space="preserve">8. </t>
    </r>
    <r>
      <rPr>
        <sz val="10"/>
        <rFont val="WenQuanYi Zen Hei"/>
        <family val="2"/>
      </rPr>
      <t xml:space="preserve">본사 사용분</t>
    </r>
  </si>
  <si>
    <r>
      <rPr>
        <i val="true"/>
        <sz val="9"/>
        <color rgb="FF808080"/>
        <rFont val="WenQuanYi Zen Hei"/>
        <family val="2"/>
      </rPr>
      <t xml:space="preserve">※ 본 표는 </t>
    </r>
    <r>
      <rPr>
        <i val="true"/>
        <sz val="9"/>
        <color rgb="FF808080"/>
        <rFont val="맑은 고딕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집행내역 관리대장</t>
    </r>
    <r>
      <rPr>
        <i val="true"/>
        <sz val="9"/>
        <color rgb="FF808080"/>
        <rFont val="맑은 고딕"/>
        <family val="0"/>
        <charset val="1"/>
      </rPr>
      <t xml:space="preserve">' </t>
    </r>
    <r>
      <rPr>
        <i val="true"/>
        <sz val="9"/>
        <color rgb="FF808080"/>
        <rFont val="WenQuanYi Zen Hei"/>
        <family val="2"/>
      </rPr>
      <t xml:space="preserve">시트의 데이터를 항목별로 자동 집계합니다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관리대장에 항목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금액을 입력하면 이 표가 자동으로 갱신됩니다</t>
    </r>
    <r>
      <rPr>
        <i val="true"/>
        <sz val="9"/>
        <color rgb="FF8080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</si>
</sst>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원;[RED]\-#,##0\원;\-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05496"/>
      <name val="WenQuanYi Zen Hei"/>
      <family val="2"/>
    </font>
    <font>
      <i val="true"/>
      <sz val="11"/>
      <color rgb="FF595959"/>
      <name val="맑은 고딕"/>
      <family val="0"/>
      <charset val="1"/>
    </font>
    <font>
      <i val="true"/>
      <sz val="11"/>
      <color rgb="FF595959"/>
      <name val="WenQuanYi Zen Hei"/>
      <family val="2"/>
    </font>
    <font>
      <b val="true"/>
      <sz val="11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name val="WenQuanYi Zen Hei"/>
      <family val="2"/>
    </font>
    <font>
      <sz val="10"/>
      <name val="맑은 고딕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맑은 고딕"/>
      <family val="0"/>
      <charset val="1"/>
    </font>
    <font>
      <b val="true"/>
      <sz val="16"/>
      <color rgb="FFFFFF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FFF2CC"/>
        <bgColor rgb="FFF2F2F2"/>
      </patternFill>
    </fill>
    <fill>
      <patternFill patternType="solid">
        <fgColor rgb="FF305496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6" min="4" style="0" width="14"/>
    <col collapsed="false" customWidth="true" hidden="false" outlineLevel="0" max="7" min="7" style="0" width="4"/>
  </cols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1"/>
      <c r="C3" s="1"/>
      <c r="D3" s="1"/>
      <c r="E3" s="1"/>
      <c r="F3" s="1"/>
    </row>
    <row r="4" customFormat="false" ht="15" hidden="false" customHeight="tru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</row>
    <row r="7" customFormat="false" ht="19.5" hidden="false" customHeight="true" outlineLevel="0" collapsed="false">
      <c r="B7" s="4" t="s">
        <v>3</v>
      </c>
      <c r="C7" s="5"/>
      <c r="D7" s="4" t="s">
        <v>4</v>
      </c>
      <c r="E7" s="5"/>
      <c r="F7" s="6"/>
    </row>
    <row r="8" customFormat="false" ht="19.5" hidden="false" customHeight="true" outlineLevel="0" collapsed="false">
      <c r="B8" s="4" t="s">
        <v>5</v>
      </c>
      <c r="C8" s="5"/>
      <c r="D8" s="4" t="s">
        <v>6</v>
      </c>
      <c r="E8" s="5"/>
      <c r="F8" s="6"/>
    </row>
    <row r="9" customFormat="false" ht="19.5" hidden="false" customHeight="true" outlineLevel="0" collapsed="false">
      <c r="B9" s="4" t="s">
        <v>7</v>
      </c>
      <c r="C9" s="5"/>
      <c r="D9" s="4" t="s">
        <v>8</v>
      </c>
      <c r="E9" s="5"/>
      <c r="F9" s="6"/>
    </row>
    <row r="10" customFormat="false" ht="19.5" hidden="false" customHeight="true" outlineLevel="0" collapsed="false">
      <c r="B10" s="7" t="s">
        <v>9</v>
      </c>
      <c r="C10" s="8" t="n">
        <v>0</v>
      </c>
      <c r="D10" s="8"/>
      <c r="E10" s="8"/>
      <c r="F10" s="9"/>
    </row>
    <row r="12" customFormat="false" ht="15" hidden="false" customHeight="false" outlineLevel="0" collapsed="false">
      <c r="B12" s="3" t="s">
        <v>10</v>
      </c>
      <c r="C12" s="3"/>
      <c r="D12" s="3"/>
      <c r="E12" s="3"/>
      <c r="F12" s="3"/>
    </row>
    <row r="13" customFormat="false" ht="18" hidden="false" customHeight="true" outlineLevel="0" collapsed="false">
      <c r="B13" s="10" t="s">
        <v>11</v>
      </c>
      <c r="C13" s="11" t="s">
        <v>12</v>
      </c>
      <c r="D13" s="11"/>
      <c r="E13" s="11"/>
      <c r="F13" s="11"/>
    </row>
    <row r="14" customFormat="false" ht="18" hidden="false" customHeight="true" outlineLevel="0" collapsed="false">
      <c r="B14" s="10" t="s">
        <v>13</v>
      </c>
      <c r="C14" s="11" t="s">
        <v>14</v>
      </c>
      <c r="D14" s="11"/>
      <c r="E14" s="11"/>
      <c r="F14" s="11"/>
    </row>
    <row r="15" customFormat="false" ht="18" hidden="false" customHeight="true" outlineLevel="0" collapsed="false">
      <c r="B15" s="10" t="s">
        <v>15</v>
      </c>
      <c r="C15" s="11" t="s">
        <v>16</v>
      </c>
      <c r="D15" s="11"/>
      <c r="E15" s="11"/>
      <c r="F15" s="11"/>
    </row>
    <row r="16" customFormat="false" ht="18" hidden="false" customHeight="true" outlineLevel="0" collapsed="false">
      <c r="B16" s="10" t="s">
        <v>17</v>
      </c>
      <c r="C16" s="11" t="s">
        <v>18</v>
      </c>
      <c r="D16" s="11"/>
      <c r="E16" s="11"/>
      <c r="F16" s="11"/>
    </row>
    <row r="17" customFormat="false" ht="18" hidden="false" customHeight="true" outlineLevel="0" collapsed="false">
      <c r="B17" s="10" t="s">
        <v>19</v>
      </c>
      <c r="C17" s="11" t="s">
        <v>20</v>
      </c>
      <c r="D17" s="11"/>
      <c r="E17" s="11"/>
      <c r="F17" s="11"/>
    </row>
    <row r="18" customFormat="false" ht="18" hidden="false" customHeight="true" outlineLevel="0" collapsed="false">
      <c r="B18" s="10" t="s">
        <v>21</v>
      </c>
      <c r="C18" s="11" t="s">
        <v>22</v>
      </c>
      <c r="D18" s="11"/>
      <c r="E18" s="11"/>
      <c r="F18" s="11"/>
    </row>
    <row r="19" customFormat="false" ht="18" hidden="false" customHeight="true" outlineLevel="0" collapsed="false">
      <c r="B19" s="10" t="s">
        <v>23</v>
      </c>
      <c r="C19" s="11" t="s">
        <v>24</v>
      </c>
      <c r="D19" s="11"/>
      <c r="E19" s="11"/>
      <c r="F19" s="11"/>
    </row>
    <row r="20" customFormat="false" ht="18" hidden="false" customHeight="true" outlineLevel="0" collapsed="false">
      <c r="B20" s="10" t="s">
        <v>25</v>
      </c>
      <c r="C20" s="11" t="s">
        <v>26</v>
      </c>
      <c r="D20" s="11"/>
      <c r="E20" s="11"/>
      <c r="F20" s="11"/>
    </row>
    <row r="22" customFormat="false" ht="15" hidden="false" customHeight="false" outlineLevel="0" collapsed="false">
      <c r="B22" s="3" t="s">
        <v>27</v>
      </c>
      <c r="C22" s="3"/>
      <c r="D22" s="3"/>
      <c r="E22" s="3"/>
      <c r="F22" s="3"/>
    </row>
    <row r="23" customFormat="false" ht="15" hidden="false" customHeight="true" outlineLevel="0" collapsed="false">
      <c r="B23" s="12" t="s">
        <v>28</v>
      </c>
      <c r="C23" s="12"/>
      <c r="D23" s="12"/>
      <c r="E23" s="12"/>
      <c r="F23" s="12"/>
    </row>
    <row r="24" customFormat="false" ht="15" hidden="false" customHeight="false" outlineLevel="0" collapsed="false">
      <c r="B24" s="12"/>
      <c r="C24" s="12"/>
      <c r="D24" s="12"/>
      <c r="E24" s="12"/>
      <c r="F24" s="12"/>
    </row>
    <row r="25" customFormat="false" ht="15" hidden="false" customHeight="false" outlineLevel="0" collapsed="false">
      <c r="B25" s="12"/>
      <c r="C25" s="12"/>
      <c r="D25" s="12"/>
      <c r="E25" s="12"/>
      <c r="F25" s="12"/>
    </row>
    <row r="27" customFormat="false" ht="15" hidden="false" customHeight="false" outlineLevel="0" collapsed="false">
      <c r="B27" s="3" t="s">
        <v>29</v>
      </c>
      <c r="C27" s="3"/>
      <c r="D27" s="3"/>
      <c r="E27" s="3"/>
      <c r="F27" s="3"/>
    </row>
    <row r="28" customFormat="false" ht="18" hidden="false" customHeight="true" outlineLevel="0" collapsed="false">
      <c r="B28" s="13" t="s">
        <v>30</v>
      </c>
      <c r="C28" s="11" t="s">
        <v>31</v>
      </c>
      <c r="D28" s="11"/>
      <c r="E28" s="11"/>
      <c r="F28" s="11"/>
    </row>
    <row r="29" customFormat="false" ht="18" hidden="false" customHeight="true" outlineLevel="0" collapsed="false">
      <c r="B29" s="13" t="s">
        <v>32</v>
      </c>
      <c r="C29" s="11" t="s">
        <v>33</v>
      </c>
      <c r="D29" s="11"/>
      <c r="E29" s="11"/>
      <c r="F29" s="11"/>
    </row>
    <row r="31" customFormat="false" ht="15" hidden="false" customHeight="false" outlineLevel="0" collapsed="false">
      <c r="B31" s="14" t="s">
        <v>34</v>
      </c>
      <c r="C31" s="14"/>
      <c r="D31" s="14"/>
      <c r="E31" s="14"/>
      <c r="F31" s="14"/>
    </row>
  </sheetData>
  <mergeCells count="19">
    <mergeCell ref="B2:F3"/>
    <mergeCell ref="B4:F4"/>
    <mergeCell ref="B6:F6"/>
    <mergeCell ref="C10:E10"/>
    <mergeCell ref="B12:F12"/>
    <mergeCell ref="C13:F13"/>
    <mergeCell ref="C14:F14"/>
    <mergeCell ref="C15:F15"/>
    <mergeCell ref="C16:F16"/>
    <mergeCell ref="C17:F17"/>
    <mergeCell ref="C18:F18"/>
    <mergeCell ref="C19:F19"/>
    <mergeCell ref="C20:F20"/>
    <mergeCell ref="B22:F22"/>
    <mergeCell ref="B23:F25"/>
    <mergeCell ref="B27:F27"/>
    <mergeCell ref="C28:F28"/>
    <mergeCell ref="C29:F29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27.75" hidden="false" customHeight="true" outlineLevel="0" collapsed="false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8" hidden="false" customHeight="true" outlineLevel="0" collapsed="false">
      <c r="A2" s="16" t="s">
        <v>36</v>
      </c>
      <c r="B2" s="16"/>
      <c r="C2" s="16"/>
      <c r="D2" s="17" t="str">
        <f aca="false">IF(안내!C7="","",안내!C7)</f>
        <v/>
      </c>
      <c r="E2" s="17"/>
      <c r="F2" s="17"/>
      <c r="G2" s="16" t="s">
        <v>37</v>
      </c>
      <c r="H2" s="16"/>
      <c r="I2" s="18" t="str">
        <f aca="false">IF(안내!$C$10=0,"",안내!$C$10)</f>
        <v/>
      </c>
      <c r="J2" s="18"/>
    </row>
    <row r="3" customFormat="false" ht="25.5" hidden="false" customHeight="true" outlineLevel="0" collapsed="false">
      <c r="A3" s="19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</row>
    <row r="4" customFormat="false" ht="31.5" hidden="false" customHeight="true" outlineLevel="0" collapsed="false">
      <c r="A4" s="20" t="n">
        <v>1</v>
      </c>
      <c r="B4" s="20" t="s">
        <v>48</v>
      </c>
      <c r="C4" s="21" t="s">
        <v>49</v>
      </c>
      <c r="D4" s="21" t="s">
        <v>50</v>
      </c>
      <c r="E4" s="20" t="s">
        <v>51</v>
      </c>
      <c r="F4" s="22" t="n">
        <v>250000</v>
      </c>
      <c r="G4" s="22" t="n">
        <f aca="false">F4</f>
        <v>250000</v>
      </c>
      <c r="H4" s="23" t="s">
        <v>52</v>
      </c>
      <c r="I4" s="23" t="s">
        <v>53</v>
      </c>
      <c r="J4" s="23"/>
    </row>
    <row r="5" customFormat="false" ht="31.5" hidden="false" customHeight="true" outlineLevel="0" collapsed="false">
      <c r="A5" s="20" t="n">
        <v>2</v>
      </c>
      <c r="B5" s="20" t="s">
        <v>54</v>
      </c>
      <c r="C5" s="21" t="s">
        <v>55</v>
      </c>
      <c r="D5" s="23" t="s">
        <v>56</v>
      </c>
      <c r="E5" s="20" t="s">
        <v>57</v>
      </c>
      <c r="F5" s="22" t="n">
        <v>18000</v>
      </c>
      <c r="G5" s="22" t="n">
        <f aca="false">F5</f>
        <v>18000</v>
      </c>
      <c r="H5" s="23" t="s">
        <v>58</v>
      </c>
      <c r="I5" s="23" t="s">
        <v>59</v>
      </c>
      <c r="J5" s="23"/>
    </row>
    <row r="6" customFormat="false" ht="31.5" hidden="false" customHeight="true" outlineLevel="0" collapsed="false">
      <c r="A6" s="20" t="n">
        <v>3</v>
      </c>
      <c r="B6" s="20" t="s">
        <v>60</v>
      </c>
      <c r="C6" s="21" t="s">
        <v>61</v>
      </c>
      <c r="D6" s="23" t="s">
        <v>62</v>
      </c>
      <c r="E6" s="20" t="s">
        <v>63</v>
      </c>
      <c r="F6" s="22" t="n">
        <v>300000</v>
      </c>
      <c r="G6" s="22" t="n">
        <f aca="false">F6</f>
        <v>300000</v>
      </c>
      <c r="H6" s="23" t="s">
        <v>64</v>
      </c>
      <c r="I6" s="23" t="s">
        <v>53</v>
      </c>
      <c r="J6" s="23"/>
    </row>
    <row r="7" customFormat="false" ht="31.5" hidden="false" customHeight="true" outlineLevel="0" collapsed="false">
      <c r="A7" s="20" t="n">
        <v>4</v>
      </c>
      <c r="B7" s="20" t="s">
        <v>65</v>
      </c>
      <c r="C7" s="21" t="s">
        <v>66</v>
      </c>
      <c r="D7" s="23" t="s">
        <v>67</v>
      </c>
      <c r="E7" s="20" t="s">
        <v>68</v>
      </c>
      <c r="F7" s="22" t="n">
        <v>850000</v>
      </c>
      <c r="G7" s="22" t="n">
        <f aca="false">F7</f>
        <v>850000</v>
      </c>
      <c r="H7" s="23" t="s">
        <v>69</v>
      </c>
      <c r="I7" s="23" t="s">
        <v>53</v>
      </c>
      <c r="J7" s="23"/>
    </row>
    <row r="8" customFormat="false" ht="31.5" hidden="false" customHeight="true" outlineLevel="0" collapsed="false">
      <c r="A8" s="20" t="n">
        <v>5</v>
      </c>
      <c r="B8" s="20" t="s">
        <v>70</v>
      </c>
      <c r="C8" s="21" t="s">
        <v>71</v>
      </c>
      <c r="D8" s="23" t="s">
        <v>72</v>
      </c>
      <c r="E8" s="20" t="s">
        <v>63</v>
      </c>
      <c r="F8" s="22" t="n">
        <v>400000</v>
      </c>
      <c r="G8" s="22" t="n">
        <f aca="false">F8</f>
        <v>400000</v>
      </c>
      <c r="H8" s="23" t="s">
        <v>73</v>
      </c>
      <c r="I8" s="23" t="s">
        <v>53</v>
      </c>
      <c r="J8" s="23"/>
    </row>
    <row r="9" customFormat="false" ht="19.5" hidden="false" customHeight="true" outlineLevel="0" collapsed="false">
      <c r="A9" s="24" t="n">
        <v>6</v>
      </c>
      <c r="B9" s="25"/>
      <c r="C9" s="26"/>
      <c r="D9" s="26"/>
      <c r="E9" s="25"/>
      <c r="F9" s="27"/>
      <c r="G9" s="28" t="str">
        <f aca="false">IF(F9="","",F9)</f>
        <v/>
      </c>
      <c r="H9" s="26"/>
      <c r="I9" s="26"/>
      <c r="J9" s="26"/>
    </row>
    <row r="10" customFormat="false" ht="19.5" hidden="false" customHeight="true" outlineLevel="0" collapsed="false">
      <c r="A10" s="24" t="n">
        <v>7</v>
      </c>
      <c r="B10" s="25"/>
      <c r="C10" s="26"/>
      <c r="D10" s="26"/>
      <c r="E10" s="25"/>
      <c r="F10" s="27"/>
      <c r="G10" s="28" t="str">
        <f aca="false">IF(F10="","",F10)</f>
        <v/>
      </c>
      <c r="H10" s="26"/>
      <c r="I10" s="26"/>
      <c r="J10" s="26"/>
    </row>
    <row r="11" customFormat="false" ht="19.5" hidden="false" customHeight="true" outlineLevel="0" collapsed="false">
      <c r="A11" s="24" t="n">
        <v>8</v>
      </c>
      <c r="B11" s="25"/>
      <c r="C11" s="26"/>
      <c r="D11" s="26"/>
      <c r="E11" s="25"/>
      <c r="F11" s="27"/>
      <c r="G11" s="28" t="str">
        <f aca="false">IF(F11="","",F11)</f>
        <v/>
      </c>
      <c r="H11" s="26"/>
      <c r="I11" s="26"/>
      <c r="J11" s="26"/>
    </row>
    <row r="12" customFormat="false" ht="19.5" hidden="false" customHeight="true" outlineLevel="0" collapsed="false">
      <c r="A12" s="24" t="n">
        <v>9</v>
      </c>
      <c r="B12" s="25"/>
      <c r="C12" s="26"/>
      <c r="D12" s="26"/>
      <c r="E12" s="25"/>
      <c r="F12" s="27"/>
      <c r="G12" s="28" t="str">
        <f aca="false">IF(F12="","",F12)</f>
        <v/>
      </c>
      <c r="H12" s="26"/>
      <c r="I12" s="26"/>
      <c r="J12" s="26"/>
    </row>
    <row r="13" customFormat="false" ht="19.5" hidden="false" customHeight="true" outlineLevel="0" collapsed="false">
      <c r="A13" s="24" t="n">
        <v>10</v>
      </c>
      <c r="B13" s="25"/>
      <c r="C13" s="26"/>
      <c r="D13" s="26"/>
      <c r="E13" s="25"/>
      <c r="F13" s="27"/>
      <c r="G13" s="28" t="str">
        <f aca="false">IF(F13="","",F13)</f>
        <v/>
      </c>
      <c r="H13" s="26"/>
      <c r="I13" s="26"/>
      <c r="J13" s="26"/>
    </row>
    <row r="14" customFormat="false" ht="19.5" hidden="false" customHeight="true" outlineLevel="0" collapsed="false">
      <c r="A14" s="24" t="n">
        <v>11</v>
      </c>
      <c r="B14" s="25"/>
      <c r="C14" s="26"/>
      <c r="D14" s="26"/>
      <c r="E14" s="25"/>
      <c r="F14" s="27"/>
      <c r="G14" s="28" t="str">
        <f aca="false">IF(F14="","",F14)</f>
        <v/>
      </c>
      <c r="H14" s="26"/>
      <c r="I14" s="26"/>
      <c r="J14" s="26"/>
    </row>
    <row r="15" customFormat="false" ht="19.5" hidden="false" customHeight="true" outlineLevel="0" collapsed="false">
      <c r="A15" s="24" t="n">
        <v>12</v>
      </c>
      <c r="B15" s="25"/>
      <c r="C15" s="26"/>
      <c r="D15" s="26"/>
      <c r="E15" s="25"/>
      <c r="F15" s="27"/>
      <c r="G15" s="28" t="str">
        <f aca="false">IF(F15="","",F15)</f>
        <v/>
      </c>
      <c r="H15" s="26"/>
      <c r="I15" s="26"/>
      <c r="J15" s="26"/>
    </row>
    <row r="16" customFormat="false" ht="19.5" hidden="false" customHeight="true" outlineLevel="0" collapsed="false">
      <c r="A16" s="24" t="n">
        <v>13</v>
      </c>
      <c r="B16" s="25"/>
      <c r="C16" s="26"/>
      <c r="D16" s="26"/>
      <c r="E16" s="25"/>
      <c r="F16" s="27"/>
      <c r="G16" s="28" t="str">
        <f aca="false">IF(F16="","",F16)</f>
        <v/>
      </c>
      <c r="H16" s="26"/>
      <c r="I16" s="26"/>
      <c r="J16" s="26"/>
    </row>
    <row r="17" customFormat="false" ht="19.5" hidden="false" customHeight="true" outlineLevel="0" collapsed="false">
      <c r="A17" s="24" t="n">
        <v>14</v>
      </c>
      <c r="B17" s="25"/>
      <c r="C17" s="26"/>
      <c r="D17" s="26"/>
      <c r="E17" s="25"/>
      <c r="F17" s="27"/>
      <c r="G17" s="28" t="str">
        <f aca="false">IF(F17="","",F17)</f>
        <v/>
      </c>
      <c r="H17" s="26"/>
      <c r="I17" s="26"/>
      <c r="J17" s="26"/>
    </row>
    <row r="18" customFormat="false" ht="19.5" hidden="false" customHeight="true" outlineLevel="0" collapsed="false">
      <c r="A18" s="24" t="n">
        <v>15</v>
      </c>
      <c r="B18" s="25"/>
      <c r="C18" s="26"/>
      <c r="D18" s="26"/>
      <c r="E18" s="25"/>
      <c r="F18" s="27"/>
      <c r="G18" s="28" t="str">
        <f aca="false">IF(F18="","",F18)</f>
        <v/>
      </c>
      <c r="H18" s="26"/>
      <c r="I18" s="26"/>
      <c r="J18" s="26"/>
    </row>
    <row r="19" customFormat="false" ht="19.5" hidden="false" customHeight="true" outlineLevel="0" collapsed="false">
      <c r="A19" s="24" t="n">
        <v>16</v>
      </c>
      <c r="B19" s="25"/>
      <c r="C19" s="26"/>
      <c r="D19" s="26"/>
      <c r="E19" s="25"/>
      <c r="F19" s="27"/>
      <c r="G19" s="28" t="str">
        <f aca="false">IF(F19="","",F19)</f>
        <v/>
      </c>
      <c r="H19" s="26"/>
      <c r="I19" s="26"/>
      <c r="J19" s="26"/>
    </row>
    <row r="20" customFormat="false" ht="19.5" hidden="false" customHeight="true" outlineLevel="0" collapsed="false">
      <c r="A20" s="24" t="n">
        <v>17</v>
      </c>
      <c r="B20" s="25"/>
      <c r="C20" s="26"/>
      <c r="D20" s="26"/>
      <c r="E20" s="25"/>
      <c r="F20" s="27"/>
      <c r="G20" s="28" t="str">
        <f aca="false">IF(F20="","",F20)</f>
        <v/>
      </c>
      <c r="H20" s="26"/>
      <c r="I20" s="26"/>
      <c r="J20" s="26"/>
    </row>
    <row r="21" customFormat="false" ht="19.5" hidden="false" customHeight="true" outlineLevel="0" collapsed="false">
      <c r="A21" s="24" t="n">
        <v>18</v>
      </c>
      <c r="B21" s="25"/>
      <c r="C21" s="26"/>
      <c r="D21" s="26"/>
      <c r="E21" s="25"/>
      <c r="F21" s="27"/>
      <c r="G21" s="28" t="str">
        <f aca="false">IF(F21="","",F21)</f>
        <v/>
      </c>
      <c r="H21" s="26"/>
      <c r="I21" s="26"/>
      <c r="J21" s="26"/>
    </row>
    <row r="22" customFormat="false" ht="19.5" hidden="false" customHeight="true" outlineLevel="0" collapsed="false">
      <c r="A22" s="24" t="n">
        <v>19</v>
      </c>
      <c r="B22" s="25"/>
      <c r="C22" s="26"/>
      <c r="D22" s="26"/>
      <c r="E22" s="25"/>
      <c r="F22" s="27"/>
      <c r="G22" s="28" t="str">
        <f aca="false">IF(F22="","",F22)</f>
        <v/>
      </c>
      <c r="H22" s="26"/>
      <c r="I22" s="26"/>
      <c r="J22" s="26"/>
    </row>
    <row r="23" customFormat="false" ht="19.5" hidden="false" customHeight="true" outlineLevel="0" collapsed="false">
      <c r="A23" s="24" t="n">
        <v>20</v>
      </c>
      <c r="B23" s="25"/>
      <c r="C23" s="26"/>
      <c r="D23" s="26"/>
      <c r="E23" s="25"/>
      <c r="F23" s="27"/>
      <c r="G23" s="28" t="str">
        <f aca="false">IF(F23="","",F23)</f>
        <v/>
      </c>
      <c r="H23" s="26"/>
      <c r="I23" s="26"/>
      <c r="J23" s="26"/>
    </row>
    <row r="24" customFormat="false" ht="19.5" hidden="false" customHeight="true" outlineLevel="0" collapsed="false">
      <c r="A24" s="24" t="n">
        <v>21</v>
      </c>
      <c r="B24" s="25"/>
      <c r="C24" s="26"/>
      <c r="D24" s="26"/>
      <c r="E24" s="25"/>
      <c r="F24" s="27"/>
      <c r="G24" s="28" t="str">
        <f aca="false">IF(F24="","",F24)</f>
        <v/>
      </c>
      <c r="H24" s="26"/>
      <c r="I24" s="26"/>
      <c r="J24" s="26"/>
    </row>
    <row r="25" customFormat="false" ht="19.5" hidden="false" customHeight="true" outlineLevel="0" collapsed="false">
      <c r="A25" s="24" t="n">
        <v>22</v>
      </c>
      <c r="B25" s="25"/>
      <c r="C25" s="26"/>
      <c r="D25" s="26"/>
      <c r="E25" s="25"/>
      <c r="F25" s="27"/>
      <c r="G25" s="28" t="str">
        <f aca="false">IF(F25="","",F25)</f>
        <v/>
      </c>
      <c r="H25" s="26"/>
      <c r="I25" s="26"/>
      <c r="J25" s="26"/>
    </row>
    <row r="26" customFormat="false" ht="19.5" hidden="false" customHeight="true" outlineLevel="0" collapsed="false">
      <c r="A26" s="24" t="n">
        <v>23</v>
      </c>
      <c r="B26" s="25"/>
      <c r="C26" s="26"/>
      <c r="D26" s="26"/>
      <c r="E26" s="25"/>
      <c r="F26" s="27"/>
      <c r="G26" s="28" t="str">
        <f aca="false">IF(F26="","",F26)</f>
        <v/>
      </c>
      <c r="H26" s="26"/>
      <c r="I26" s="26"/>
      <c r="J26" s="26"/>
    </row>
    <row r="27" customFormat="false" ht="19.5" hidden="false" customHeight="true" outlineLevel="0" collapsed="false">
      <c r="A27" s="24" t="n">
        <v>24</v>
      </c>
      <c r="B27" s="25"/>
      <c r="C27" s="26"/>
      <c r="D27" s="26"/>
      <c r="E27" s="25"/>
      <c r="F27" s="27"/>
      <c r="G27" s="28" t="str">
        <f aca="false">IF(F27="","",F27)</f>
        <v/>
      </c>
      <c r="H27" s="26"/>
      <c r="I27" s="26"/>
      <c r="J27" s="26"/>
    </row>
    <row r="28" customFormat="false" ht="19.5" hidden="false" customHeight="true" outlineLevel="0" collapsed="false">
      <c r="A28" s="24" t="n">
        <v>25</v>
      </c>
      <c r="B28" s="25"/>
      <c r="C28" s="26"/>
      <c r="D28" s="26"/>
      <c r="E28" s="25"/>
      <c r="F28" s="27"/>
      <c r="G28" s="28" t="str">
        <f aca="false">IF(F28="","",F28)</f>
        <v/>
      </c>
      <c r="H28" s="26"/>
      <c r="I28" s="26"/>
      <c r="J28" s="26"/>
    </row>
    <row r="29" customFormat="false" ht="19.5" hidden="false" customHeight="true" outlineLevel="0" collapsed="false">
      <c r="A29" s="24" t="n">
        <v>26</v>
      </c>
      <c r="B29" s="25"/>
      <c r="C29" s="26"/>
      <c r="D29" s="26"/>
      <c r="E29" s="25"/>
      <c r="F29" s="27"/>
      <c r="G29" s="28" t="str">
        <f aca="false">IF(F29="","",F29)</f>
        <v/>
      </c>
      <c r="H29" s="26"/>
      <c r="I29" s="26"/>
      <c r="J29" s="26"/>
    </row>
    <row r="30" customFormat="false" ht="19.5" hidden="false" customHeight="true" outlineLevel="0" collapsed="false">
      <c r="A30" s="24" t="n">
        <v>27</v>
      </c>
      <c r="B30" s="25"/>
      <c r="C30" s="26"/>
      <c r="D30" s="26"/>
      <c r="E30" s="25"/>
      <c r="F30" s="27"/>
      <c r="G30" s="28" t="str">
        <f aca="false">IF(F30="","",F30)</f>
        <v/>
      </c>
      <c r="H30" s="26"/>
      <c r="I30" s="26"/>
      <c r="J30" s="26"/>
    </row>
    <row r="31" customFormat="false" ht="19.5" hidden="false" customHeight="true" outlineLevel="0" collapsed="false">
      <c r="A31" s="24" t="n">
        <v>28</v>
      </c>
      <c r="B31" s="25"/>
      <c r="C31" s="26"/>
      <c r="D31" s="26"/>
      <c r="E31" s="25"/>
      <c r="F31" s="27"/>
      <c r="G31" s="28" t="str">
        <f aca="false">IF(F31="","",F31)</f>
        <v/>
      </c>
      <c r="H31" s="26"/>
      <c r="I31" s="26"/>
      <c r="J31" s="26"/>
    </row>
    <row r="32" customFormat="false" ht="19.5" hidden="false" customHeight="true" outlineLevel="0" collapsed="false">
      <c r="A32" s="24" t="n">
        <v>29</v>
      </c>
      <c r="B32" s="25"/>
      <c r="C32" s="26"/>
      <c r="D32" s="26"/>
      <c r="E32" s="25"/>
      <c r="F32" s="27"/>
      <c r="G32" s="28" t="str">
        <f aca="false">IF(F32="","",F32)</f>
        <v/>
      </c>
      <c r="H32" s="26"/>
      <c r="I32" s="26"/>
      <c r="J32" s="26"/>
    </row>
    <row r="33" customFormat="false" ht="19.5" hidden="false" customHeight="true" outlineLevel="0" collapsed="false">
      <c r="A33" s="24" t="n">
        <v>30</v>
      </c>
      <c r="B33" s="25"/>
      <c r="C33" s="26"/>
      <c r="D33" s="26"/>
      <c r="E33" s="25"/>
      <c r="F33" s="27"/>
      <c r="G33" s="28" t="str">
        <f aca="false">IF(F33="","",F33)</f>
        <v/>
      </c>
      <c r="H33" s="26"/>
      <c r="I33" s="26"/>
      <c r="J33" s="26"/>
    </row>
    <row r="34" customFormat="false" ht="19.5" hidden="false" customHeight="true" outlineLevel="0" collapsed="false">
      <c r="A34" s="24" t="n">
        <v>31</v>
      </c>
      <c r="B34" s="25"/>
      <c r="C34" s="26"/>
      <c r="D34" s="26"/>
      <c r="E34" s="25"/>
      <c r="F34" s="27"/>
      <c r="G34" s="28" t="str">
        <f aca="false">IF(F34="","",F34)</f>
        <v/>
      </c>
      <c r="H34" s="26"/>
      <c r="I34" s="26"/>
      <c r="J34" s="26"/>
    </row>
    <row r="35" customFormat="false" ht="19.5" hidden="false" customHeight="true" outlineLevel="0" collapsed="false">
      <c r="A35" s="24" t="n">
        <v>32</v>
      </c>
      <c r="B35" s="25"/>
      <c r="C35" s="26"/>
      <c r="D35" s="26"/>
      <c r="E35" s="25"/>
      <c r="F35" s="27"/>
      <c r="G35" s="28" t="str">
        <f aca="false">IF(F35="","",F35)</f>
        <v/>
      </c>
      <c r="H35" s="26"/>
      <c r="I35" s="26"/>
      <c r="J35" s="26"/>
    </row>
    <row r="36" customFormat="false" ht="19.5" hidden="false" customHeight="true" outlineLevel="0" collapsed="false">
      <c r="A36" s="24" t="n">
        <v>33</v>
      </c>
      <c r="B36" s="25"/>
      <c r="C36" s="26"/>
      <c r="D36" s="26"/>
      <c r="E36" s="25"/>
      <c r="F36" s="27"/>
      <c r="G36" s="28" t="str">
        <f aca="false">IF(F36="","",F36)</f>
        <v/>
      </c>
      <c r="H36" s="26"/>
      <c r="I36" s="26"/>
      <c r="J36" s="26"/>
    </row>
    <row r="37" customFormat="false" ht="19.5" hidden="false" customHeight="true" outlineLevel="0" collapsed="false">
      <c r="A37" s="24" t="n">
        <v>34</v>
      </c>
      <c r="B37" s="25"/>
      <c r="C37" s="26"/>
      <c r="D37" s="26"/>
      <c r="E37" s="25"/>
      <c r="F37" s="27"/>
      <c r="G37" s="28" t="str">
        <f aca="false">IF(F37="","",F37)</f>
        <v/>
      </c>
      <c r="H37" s="26"/>
      <c r="I37" s="26"/>
      <c r="J37" s="26"/>
    </row>
    <row r="38" customFormat="false" ht="19.5" hidden="false" customHeight="true" outlineLevel="0" collapsed="false">
      <c r="A38" s="24" t="n">
        <v>35</v>
      </c>
      <c r="B38" s="25"/>
      <c r="C38" s="26"/>
      <c r="D38" s="26"/>
      <c r="E38" s="25"/>
      <c r="F38" s="27"/>
      <c r="G38" s="28" t="str">
        <f aca="false">IF(F38="","",F38)</f>
        <v/>
      </c>
      <c r="H38" s="26"/>
      <c r="I38" s="26"/>
      <c r="J38" s="26"/>
    </row>
    <row r="39" customFormat="false" ht="19.5" hidden="false" customHeight="true" outlineLevel="0" collapsed="false">
      <c r="A39" s="24" t="n">
        <v>36</v>
      </c>
      <c r="B39" s="25"/>
      <c r="C39" s="26"/>
      <c r="D39" s="26"/>
      <c r="E39" s="25"/>
      <c r="F39" s="27"/>
      <c r="G39" s="28" t="str">
        <f aca="false">IF(F39="","",F39)</f>
        <v/>
      </c>
      <c r="H39" s="26"/>
      <c r="I39" s="26"/>
      <c r="J39" s="26"/>
    </row>
    <row r="40" customFormat="false" ht="19.5" hidden="false" customHeight="true" outlineLevel="0" collapsed="false">
      <c r="A40" s="24" t="n">
        <v>37</v>
      </c>
      <c r="B40" s="25"/>
      <c r="C40" s="26"/>
      <c r="D40" s="26"/>
      <c r="E40" s="25"/>
      <c r="F40" s="27"/>
      <c r="G40" s="28" t="str">
        <f aca="false">IF(F40="","",F40)</f>
        <v/>
      </c>
      <c r="H40" s="26"/>
      <c r="I40" s="26"/>
      <c r="J40" s="26"/>
    </row>
    <row r="41" customFormat="false" ht="19.5" hidden="false" customHeight="true" outlineLevel="0" collapsed="false">
      <c r="A41" s="24" t="n">
        <v>38</v>
      </c>
      <c r="B41" s="25"/>
      <c r="C41" s="26"/>
      <c r="D41" s="26"/>
      <c r="E41" s="25"/>
      <c r="F41" s="27"/>
      <c r="G41" s="28" t="str">
        <f aca="false">IF(F41="","",F41)</f>
        <v/>
      </c>
      <c r="H41" s="26"/>
      <c r="I41" s="26"/>
      <c r="J41" s="26"/>
    </row>
    <row r="42" customFormat="false" ht="19.5" hidden="false" customHeight="true" outlineLevel="0" collapsed="false">
      <c r="A42" s="24" t="n">
        <v>39</v>
      </c>
      <c r="B42" s="25"/>
      <c r="C42" s="26"/>
      <c r="D42" s="26"/>
      <c r="E42" s="25"/>
      <c r="F42" s="27"/>
      <c r="G42" s="28" t="str">
        <f aca="false">IF(F42="","",F42)</f>
        <v/>
      </c>
      <c r="H42" s="26"/>
      <c r="I42" s="26"/>
      <c r="J42" s="26"/>
    </row>
    <row r="43" customFormat="false" ht="19.5" hidden="false" customHeight="true" outlineLevel="0" collapsed="false">
      <c r="A43" s="24" t="n">
        <v>40</v>
      </c>
      <c r="B43" s="25"/>
      <c r="C43" s="26"/>
      <c r="D43" s="26"/>
      <c r="E43" s="25"/>
      <c r="F43" s="27"/>
      <c r="G43" s="28" t="str">
        <f aca="false">IF(F43="","",F43)</f>
        <v/>
      </c>
      <c r="H43" s="26"/>
      <c r="I43" s="26"/>
      <c r="J43" s="26"/>
    </row>
    <row r="44" customFormat="false" ht="19.5" hidden="false" customHeight="true" outlineLevel="0" collapsed="false">
      <c r="A44" s="24" t="n">
        <v>41</v>
      </c>
      <c r="B44" s="25"/>
      <c r="C44" s="26"/>
      <c r="D44" s="26"/>
      <c r="E44" s="25"/>
      <c r="F44" s="27"/>
      <c r="G44" s="28" t="str">
        <f aca="false">IF(F44="","",F44)</f>
        <v/>
      </c>
      <c r="H44" s="26"/>
      <c r="I44" s="26"/>
      <c r="J44" s="26"/>
    </row>
    <row r="45" customFormat="false" ht="19.5" hidden="false" customHeight="true" outlineLevel="0" collapsed="false">
      <c r="A45" s="24" t="n">
        <v>42</v>
      </c>
      <c r="B45" s="25"/>
      <c r="C45" s="26"/>
      <c r="D45" s="26"/>
      <c r="E45" s="25"/>
      <c r="F45" s="27"/>
      <c r="G45" s="28" t="str">
        <f aca="false">IF(F45="","",F45)</f>
        <v/>
      </c>
      <c r="H45" s="26"/>
      <c r="I45" s="26"/>
      <c r="J45" s="26"/>
    </row>
    <row r="46" customFormat="false" ht="19.5" hidden="false" customHeight="true" outlineLevel="0" collapsed="false">
      <c r="A46" s="24" t="n">
        <v>43</v>
      </c>
      <c r="B46" s="25"/>
      <c r="C46" s="26"/>
      <c r="D46" s="26"/>
      <c r="E46" s="25"/>
      <c r="F46" s="27"/>
      <c r="G46" s="28" t="str">
        <f aca="false">IF(F46="","",F46)</f>
        <v/>
      </c>
      <c r="H46" s="26"/>
      <c r="I46" s="26"/>
      <c r="J46" s="26"/>
    </row>
    <row r="47" customFormat="false" ht="19.5" hidden="false" customHeight="true" outlineLevel="0" collapsed="false">
      <c r="A47" s="24" t="n">
        <v>44</v>
      </c>
      <c r="B47" s="25"/>
      <c r="C47" s="26"/>
      <c r="D47" s="26"/>
      <c r="E47" s="25"/>
      <c r="F47" s="27"/>
      <c r="G47" s="28" t="str">
        <f aca="false">IF(F47="","",F47)</f>
        <v/>
      </c>
      <c r="H47" s="26"/>
      <c r="I47" s="26"/>
      <c r="J47" s="26"/>
    </row>
    <row r="48" customFormat="false" ht="19.5" hidden="false" customHeight="true" outlineLevel="0" collapsed="false">
      <c r="A48" s="24" t="n">
        <v>45</v>
      </c>
      <c r="B48" s="25"/>
      <c r="C48" s="26"/>
      <c r="D48" s="26"/>
      <c r="E48" s="25"/>
      <c r="F48" s="27"/>
      <c r="G48" s="28" t="str">
        <f aca="false">IF(F48="","",F48)</f>
        <v/>
      </c>
      <c r="H48" s="26"/>
      <c r="I48" s="26"/>
      <c r="J48" s="26"/>
    </row>
    <row r="50" customFormat="false" ht="15" hidden="false" customHeight="false" outlineLevel="0" collapsed="false">
      <c r="A50" s="29" t="s">
        <v>74</v>
      </c>
      <c r="B50" s="29"/>
      <c r="C50" s="29"/>
      <c r="D50" s="29"/>
      <c r="E50" s="29"/>
      <c r="F50" s="29"/>
      <c r="G50" s="30" t="n">
        <f aca="false">SUM(G4:G48)</f>
        <v>1818000</v>
      </c>
      <c r="H50" s="31"/>
      <c r="I50" s="31"/>
      <c r="J50" s="31"/>
    </row>
    <row r="51" customFormat="false" ht="13.4" hidden="false" customHeight="false" outlineLevel="0" collapsed="false">
      <c r="A51" s="14" t="s">
        <v>75</v>
      </c>
      <c r="B51" s="14"/>
      <c r="C51" s="14"/>
      <c r="D51" s="14"/>
      <c r="E51" s="14"/>
      <c r="F51" s="14"/>
      <c r="G51" s="14"/>
      <c r="H51" s="14"/>
      <c r="I51" s="14"/>
      <c r="J51" s="14"/>
    </row>
  </sheetData>
  <mergeCells count="7">
    <mergeCell ref="A1:J1"/>
    <mergeCell ref="A2:C2"/>
    <mergeCell ref="D2:F2"/>
    <mergeCell ref="G2:H2"/>
    <mergeCell ref="I2:J2"/>
    <mergeCell ref="A50:F50"/>
    <mergeCell ref="A51:J51"/>
  </mergeCells>
  <dataValidations count="1">
    <dataValidation allowBlank="true" error="목록에서 사용항목을 선택하세요." errorStyle="stop" errorTitle="입력 오류" operator="between" showDropDown="false" showErrorMessage="true" showInputMessage="false" sqref="C4:C48" type="list">
      <formula1>"1. 안전관리자 등 인건비·업무수당,2. 안전시설비 등,3. 보호구 등,4. 안전보건진단비 등,5. 안전보건교육비 등,6. 근로자 건강장해예방비 등,7. 건설재해예방 기술지도비,8. 본사 사용분"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5" t="s">
        <v>76</v>
      </c>
      <c r="B1" s="15"/>
      <c r="C1" s="15"/>
      <c r="D1" s="15"/>
      <c r="E1" s="15"/>
      <c r="F1" s="15"/>
    </row>
    <row r="3" customFormat="false" ht="19.5" hidden="false" customHeight="true" outlineLevel="0" collapsed="false">
      <c r="B3" s="7" t="s">
        <v>9</v>
      </c>
      <c r="C3" s="32" t="str">
        <f aca="false">IF(안내!$C$10=0,"",안내!$C$10)</f>
        <v/>
      </c>
      <c r="D3" s="32"/>
    </row>
    <row r="4" customFormat="false" ht="19.5" hidden="false" customHeight="true" outlineLevel="0" collapsed="false">
      <c r="B4" s="7" t="s">
        <v>77</v>
      </c>
      <c r="C4" s="32" t="n">
        <f aca="false">'집행내역 관리대장'!G50</f>
        <v>1818000</v>
      </c>
      <c r="D4" s="32"/>
    </row>
    <row r="5" customFormat="false" ht="19.5" hidden="false" customHeight="true" outlineLevel="0" collapsed="false">
      <c r="B5" s="7" t="s">
        <v>78</v>
      </c>
      <c r="C5" s="32" t="str">
        <f aca="false">IF(안내!$C$10=0,"",안내!$C$10-C4)</f>
        <v/>
      </c>
      <c r="D5" s="32"/>
    </row>
    <row r="7" customFormat="false" ht="19.5" hidden="false" customHeight="true" outlineLevel="0" collapsed="false">
      <c r="B7" s="4" t="s">
        <v>40</v>
      </c>
      <c r="C7" s="4" t="s">
        <v>79</v>
      </c>
      <c r="D7" s="4" t="s">
        <v>44</v>
      </c>
      <c r="E7" s="4" t="s">
        <v>80</v>
      </c>
      <c r="F7" s="4" t="s">
        <v>47</v>
      </c>
    </row>
    <row r="8" customFormat="false" ht="18" hidden="false" customHeight="true" outlineLevel="0" collapsed="false">
      <c r="B8" s="33" t="s">
        <v>81</v>
      </c>
      <c r="C8" s="24" t="n">
        <f aca="false">COUNTIF('집행내역 관리대장'!$C$4:$C$48,B8)</f>
        <v>0</v>
      </c>
      <c r="D8" s="34" t="n">
        <f aca="false">SUMIF('집행내역 관리대장'!$C$4:$C$48,B8,'집행내역 관리대장'!$G$4:$G$48)</f>
        <v>0</v>
      </c>
      <c r="E8" s="35" t="n">
        <f aca="false">IFERROR(D8/SUM($D$8:$D$15),0)</f>
        <v>0</v>
      </c>
      <c r="F8" s="24"/>
    </row>
    <row r="9" customFormat="false" ht="18" hidden="false" customHeight="true" outlineLevel="0" collapsed="false">
      <c r="B9" s="33" t="s">
        <v>49</v>
      </c>
      <c r="C9" s="24" t="n">
        <f aca="false">COUNTIF('집행내역 관리대장'!$C$4:$C$48,B9)</f>
        <v>1</v>
      </c>
      <c r="D9" s="34" t="n">
        <f aca="false">SUMIF('집행내역 관리대장'!$C$4:$C$48,B9,'집행내역 관리대장'!$G$4:$G$48)</f>
        <v>250000</v>
      </c>
      <c r="E9" s="35" t="n">
        <f aca="false">IFERROR(D9/SUM($D$8:$D$15),0)</f>
        <v>0.137513751375138</v>
      </c>
      <c r="F9" s="24"/>
    </row>
    <row r="10" customFormat="false" ht="18" hidden="false" customHeight="true" outlineLevel="0" collapsed="false">
      <c r="B10" s="33" t="s">
        <v>55</v>
      </c>
      <c r="C10" s="24" t="n">
        <f aca="false">COUNTIF('집행내역 관리대장'!$C$4:$C$48,B10)</f>
        <v>1</v>
      </c>
      <c r="D10" s="34" t="n">
        <f aca="false">SUMIF('집행내역 관리대장'!$C$4:$C$48,B10,'집행내역 관리대장'!$G$4:$G$48)</f>
        <v>18000</v>
      </c>
      <c r="E10" s="35" t="n">
        <f aca="false">IFERROR(D10/SUM($D$8:$D$15),0)</f>
        <v>0.0099009900990099</v>
      </c>
      <c r="F10" s="24"/>
    </row>
    <row r="11" customFormat="false" ht="18" hidden="false" customHeight="true" outlineLevel="0" collapsed="false">
      <c r="B11" s="33" t="s">
        <v>82</v>
      </c>
      <c r="C11" s="24" t="n">
        <f aca="false">COUNTIF('집행내역 관리대장'!$C$4:$C$48,B11)</f>
        <v>0</v>
      </c>
      <c r="D11" s="34" t="n">
        <f aca="false">SUMIF('집행내역 관리대장'!$C$4:$C$48,B11,'집행내역 관리대장'!$G$4:$G$48)</f>
        <v>0</v>
      </c>
      <c r="E11" s="35" t="n">
        <f aca="false">IFERROR(D11/SUM($D$8:$D$15),0)</f>
        <v>0</v>
      </c>
      <c r="F11" s="24"/>
    </row>
    <row r="12" customFormat="false" ht="18" hidden="false" customHeight="true" outlineLevel="0" collapsed="false">
      <c r="B12" s="33" t="s">
        <v>61</v>
      </c>
      <c r="C12" s="24" t="n">
        <f aca="false">COUNTIF('집행내역 관리대장'!$C$4:$C$48,B12)</f>
        <v>1</v>
      </c>
      <c r="D12" s="34" t="n">
        <f aca="false">SUMIF('집행내역 관리대장'!$C$4:$C$48,B12,'집행내역 관리대장'!$G$4:$G$48)</f>
        <v>300000</v>
      </c>
      <c r="E12" s="35" t="n">
        <f aca="false">IFERROR(D12/SUM($D$8:$D$15),0)</f>
        <v>0.165016501650165</v>
      </c>
      <c r="F12" s="24"/>
    </row>
    <row r="13" customFormat="false" ht="18" hidden="false" customHeight="true" outlineLevel="0" collapsed="false">
      <c r="B13" s="33" t="s">
        <v>66</v>
      </c>
      <c r="C13" s="24" t="n">
        <f aca="false">COUNTIF('집행내역 관리대장'!$C$4:$C$48,B13)</f>
        <v>1</v>
      </c>
      <c r="D13" s="34" t="n">
        <f aca="false">SUMIF('집행내역 관리대장'!$C$4:$C$48,B13,'집행내역 관리대장'!$G$4:$G$48)</f>
        <v>850000</v>
      </c>
      <c r="E13" s="35" t="n">
        <f aca="false">IFERROR(D13/SUM($D$8:$D$15),0)</f>
        <v>0.467546754675468</v>
      </c>
      <c r="F13" s="24"/>
    </row>
    <row r="14" customFormat="false" ht="18" hidden="false" customHeight="true" outlineLevel="0" collapsed="false">
      <c r="B14" s="33" t="s">
        <v>71</v>
      </c>
      <c r="C14" s="24" t="n">
        <f aca="false">COUNTIF('집행내역 관리대장'!$C$4:$C$48,B14)</f>
        <v>1</v>
      </c>
      <c r="D14" s="34" t="n">
        <f aca="false">SUMIF('집행내역 관리대장'!$C$4:$C$48,B14,'집행내역 관리대장'!$G$4:$G$48)</f>
        <v>400000</v>
      </c>
      <c r="E14" s="35" t="n">
        <f aca="false">IFERROR(D14/SUM($D$8:$D$15),0)</f>
        <v>0.22002200220022</v>
      </c>
      <c r="F14" s="24"/>
    </row>
    <row r="15" customFormat="false" ht="18" hidden="false" customHeight="true" outlineLevel="0" collapsed="false">
      <c r="B15" s="33" t="s">
        <v>83</v>
      </c>
      <c r="C15" s="24" t="n">
        <f aca="false">COUNTIF('집행내역 관리대장'!$C$4:$C$48,B15)</f>
        <v>0</v>
      </c>
      <c r="D15" s="34" t="n">
        <f aca="false">SUMIF('집행내역 관리대장'!$C$4:$C$48,B15,'집행내역 관리대장'!$G$4:$G$48)</f>
        <v>0</v>
      </c>
      <c r="E15" s="35" t="n">
        <f aca="false">IFERROR(D15/SUM($D$8:$D$15),0)</f>
        <v>0</v>
      </c>
      <c r="F15" s="24"/>
    </row>
    <row r="16" customFormat="false" ht="15" hidden="false" customHeight="false" outlineLevel="0" collapsed="false">
      <c r="B16" s="36" t="s">
        <v>74</v>
      </c>
      <c r="C16" s="36" t="n">
        <f aca="false">SUM(C8:C15)</f>
        <v>5</v>
      </c>
      <c r="D16" s="30" t="n">
        <f aca="false">SUM(D8:D15)</f>
        <v>1818000</v>
      </c>
      <c r="E16" s="37" t="n">
        <f aca="false">IFERROR(D16/D16,0)</f>
        <v>1</v>
      </c>
      <c r="F16" s="36"/>
    </row>
    <row r="18" customFormat="false" ht="15" hidden="false" customHeight="false" outlineLevel="0" collapsed="false">
      <c r="B18" s="14" t="s">
        <v>84</v>
      </c>
      <c r="C18" s="14"/>
      <c r="D18" s="14"/>
      <c r="E18" s="14"/>
      <c r="F18" s="14"/>
    </row>
  </sheetData>
  <mergeCells count="5">
    <mergeCell ref="A1:F1"/>
    <mergeCell ref="C3:D3"/>
    <mergeCell ref="C4:D4"/>
    <mergeCell ref="C5:D5"/>
    <mergeCell ref="B18:F18"/>
  </mergeCells>
  <conditionalFormatting sqref="C5:D5">
    <cfRule type="expression" priority="2" aboveAverage="0" equalAverage="0" bottom="0" percent="0" rank="0" text="" dxfId="0">
      <formula>AND(C5&lt;&gt;"",C5&lt;0)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2026-09-07T07:28:14Z</dcterms:created>
  <dc:creator>openpyxl</dc:creator>
  <dc:description/>
  <dc:language>en-US</dc:language>
  <cp:lastModifiedBy/>
  <dcterms:modified xsi:type="dcterms:W3CDTF">2026-09-07T07:28:14Z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