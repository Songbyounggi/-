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표지" sheetId="1" state="visible" r:id="rId3"/>
    <sheet name="위험성평가 기준표" sheetId="2" state="visible" r:id="rId4"/>
    <sheet name="위험성평가표" sheetId="3" state="visible" r:id="rId5"/>
    <sheet name="개선대책 이행확인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<sst xmlns="http://schemas.openxmlformats.org/spreadsheetml/2006/main" count="158" uniqueCount="141">
  <si>
    <t xml:space="preserve">건설공사 위험성평가표</t>
  </si>
  <si>
    <r>
      <rPr>
        <i val="true"/>
        <sz val="11"/>
        <color rgb="FF595959"/>
        <rFont val="맑은 고딕"/>
        <family val="0"/>
        <charset val="1"/>
      </rPr>
      <t xml:space="preserve">(</t>
    </r>
    <r>
      <rPr>
        <i val="true"/>
        <sz val="11"/>
        <color rgb="FF595959"/>
        <rFont val="WenQuanYi Zen Hei"/>
        <family val="2"/>
      </rPr>
      <t xml:space="preserve">산업안전보건법 제</t>
    </r>
    <r>
      <rPr>
        <i val="true"/>
        <sz val="11"/>
        <color rgb="FF595959"/>
        <rFont val="맑은 고딕"/>
        <family val="0"/>
        <charset val="1"/>
      </rPr>
      <t xml:space="preserve">36</t>
    </r>
    <r>
      <rPr>
        <i val="true"/>
        <sz val="11"/>
        <color rgb="FF595959"/>
        <rFont val="WenQuanYi Zen Hei"/>
        <family val="2"/>
      </rPr>
      <t xml:space="preserve">조 및 사업장 위험성평가에 관한 지침 기준</t>
    </r>
    <r>
      <rPr>
        <i val="true"/>
        <sz val="11"/>
        <color rgb="FF595959"/>
        <rFont val="맑은 고딕"/>
        <family val="0"/>
        <charset val="1"/>
      </rPr>
      <t xml:space="preserve">)</t>
    </r>
  </si>
  <si>
    <r>
      <rPr>
        <b val="true"/>
        <sz val="11"/>
        <rFont val="맑은 고딕"/>
        <family val="0"/>
        <charset val="1"/>
      </rPr>
      <t xml:space="preserve">1. </t>
    </r>
    <r>
      <rPr>
        <b val="true"/>
        <sz val="11"/>
        <rFont val="WenQuanYi Zen Hei"/>
        <family val="2"/>
      </rPr>
      <t xml:space="preserve">현장 개요</t>
    </r>
  </si>
  <si>
    <r>
      <rPr>
        <b val="true"/>
        <sz val="10"/>
        <rFont val="WenQuanYi Zen Hei"/>
        <family val="2"/>
      </rPr>
      <t xml:space="preserve">현장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사업장</t>
    </r>
    <r>
      <rPr>
        <b val="true"/>
        <sz val="10"/>
        <rFont val="맑은 고딕"/>
        <family val="0"/>
        <charset val="1"/>
      </rPr>
      <t xml:space="preserve">)</t>
    </r>
    <r>
      <rPr>
        <b val="true"/>
        <sz val="10"/>
        <rFont val="WenQuanYi Zen Hei"/>
        <family val="2"/>
      </rPr>
      <t xml:space="preserve">명</t>
    </r>
  </si>
  <si>
    <t xml:space="preserve">공사명</t>
  </si>
  <si>
    <t xml:space="preserve">소재지</t>
  </si>
  <si>
    <t xml:space="preserve">발주처</t>
  </si>
  <si>
    <t xml:space="preserve">시공사</t>
  </si>
  <si>
    <t xml:space="preserve">공사기간</t>
  </si>
  <si>
    <t xml:space="preserve">평가대상 공정</t>
  </si>
  <si>
    <t xml:space="preserve">평가일자</t>
  </si>
  <si>
    <r>
      <rPr>
        <b val="true"/>
        <sz val="10"/>
        <rFont val="WenQuanYi Zen Hei"/>
        <family val="2"/>
      </rPr>
      <t xml:space="preserve">평가자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작성자</t>
    </r>
    <r>
      <rPr>
        <b val="true"/>
        <sz val="10"/>
        <rFont val="맑은 고딕"/>
        <family val="0"/>
        <charset val="1"/>
      </rPr>
      <t xml:space="preserve">)</t>
    </r>
  </si>
  <si>
    <t xml:space="preserve">직책</t>
  </si>
  <si>
    <t xml:space="preserve">검토자</t>
  </si>
  <si>
    <r>
      <rPr>
        <b val="true"/>
        <sz val="10"/>
        <rFont val="WenQuanYi Zen Hei"/>
        <family val="2"/>
      </rPr>
      <t xml:space="preserve">결재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승인</t>
    </r>
    <r>
      <rPr>
        <b val="true"/>
        <sz val="10"/>
        <rFont val="맑은 고딕"/>
        <family val="0"/>
        <charset val="1"/>
      </rPr>
      <t xml:space="preserve">)</t>
    </r>
    <r>
      <rPr>
        <b val="true"/>
        <sz val="10"/>
        <rFont val="WenQuanYi Zen Hei"/>
        <family val="2"/>
      </rPr>
      <t xml:space="preserve">자</t>
    </r>
  </si>
  <si>
    <r>
      <rPr>
        <b val="true"/>
        <sz val="11"/>
        <rFont val="맑은 고딕"/>
        <family val="0"/>
        <charset val="1"/>
      </rPr>
      <t xml:space="preserve">2. </t>
    </r>
    <r>
      <rPr>
        <b val="true"/>
        <sz val="11"/>
        <rFont val="WenQuanYi Zen Hei"/>
        <family val="2"/>
      </rPr>
      <t xml:space="preserve">위험성평가 실시 목적</t>
    </r>
  </si>
  <si>
    <r>
      <rPr>
        <sz val="10"/>
        <rFont val="WenQuanYi Zen Hei"/>
        <family val="2"/>
      </rPr>
      <t xml:space="preserve">사업장 내 유해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위험요인을 사전에 찾아내어 위험성의 크기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빈도</t>
    </r>
    <r>
      <rPr>
        <sz val="10"/>
        <rFont val="맑은 고딕"/>
        <family val="0"/>
        <charset val="1"/>
      </rPr>
      <t xml:space="preserve">×</t>
    </r>
    <r>
      <rPr>
        <sz val="10"/>
        <rFont val="WenQuanYi Zen Hei"/>
        <family val="2"/>
      </rPr>
      <t xml:space="preserve">강도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를 추정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결정하고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허용 가능한 수준으로 감소시키기 위한 대책을 수립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실행함으로써 산업재해를 예방하고 근로자의 안전과 보건을 확보하기 위함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</si>
  <si>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1"/>
        <rFont val="맑은 고딕"/>
        <family val="0"/>
        <charset val="1"/>
      </rPr>
      <t xml:space="preserve">3. </t>
    </r>
    <r>
      <rPr>
        <b val="true"/>
        <sz val="11"/>
        <rFont val="WenQuanYi Zen Hei"/>
        <family val="2"/>
      </rPr>
      <t xml:space="preserve">구성</t>
    </r>
  </si>
  <si>
    <t xml:space="preserve">① 위험성평가 기준표</t>
  </si>
  <si>
    <r>
      <rPr>
        <sz val="10"/>
        <rFont val="WenQuanYi Zen Hei"/>
        <family val="2"/>
      </rPr>
      <t xml:space="preserve">가능성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빈도</t>
    </r>
    <r>
      <rPr>
        <sz val="10"/>
        <rFont val="맑은 고딕"/>
        <family val="0"/>
        <charset val="1"/>
      </rPr>
      <t xml:space="preserve">)·</t>
    </r>
    <r>
      <rPr>
        <sz val="10"/>
        <rFont val="WenQuanYi Zen Hei"/>
        <family val="2"/>
      </rPr>
      <t xml:space="preserve">중대성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강도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등급 기준 및 위험성 수준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매트릭스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정의</t>
    </r>
  </si>
  <si>
    <t xml:space="preserve">② 위험성평가표</t>
  </si>
  <si>
    <r>
      <rPr>
        <sz val="10"/>
        <rFont val="WenQuanYi Zen Hei"/>
        <family val="2"/>
      </rPr>
      <t xml:space="preserve">공정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작업별 유해위험요인 파악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위험성 추정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결정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감소대책 및 개선 후 재평가</t>
    </r>
  </si>
  <si>
    <t xml:space="preserve">③ 개선대책 이행확인</t>
  </si>
  <si>
    <t xml:space="preserve">감소대책 이행 여부 확인 및 완료일 관리 대장</t>
  </si>
  <si>
    <r>
      <rPr>
        <i val="true"/>
        <sz val="9"/>
        <color rgb="FF808080"/>
        <rFont val="WenQuanYi Zen Hei"/>
        <family val="2"/>
      </rPr>
      <t xml:space="preserve">노란색 음영 셀에 현장 정보를 입력하세요</t>
    </r>
    <r>
      <rPr>
        <i val="true"/>
        <sz val="9"/>
        <color rgb="FF808080"/>
        <rFont val="맑은 고딕"/>
        <family val="0"/>
        <charset val="1"/>
      </rPr>
      <t xml:space="preserve">. (</t>
    </r>
    <r>
      <rPr>
        <i val="true"/>
        <sz val="9"/>
        <color rgb="FF808080"/>
        <rFont val="WenQuanYi Zen Hei"/>
        <family val="2"/>
      </rPr>
      <t xml:space="preserve">예시 행은 참고 후 삭제</t>
    </r>
    <r>
      <rPr>
        <i val="true"/>
        <sz val="9"/>
        <color rgb="FF808080"/>
        <rFont val="맑은 고딕"/>
        <family val="0"/>
        <charset val="1"/>
      </rPr>
      <t xml:space="preserve">·</t>
    </r>
    <r>
      <rPr>
        <i val="true"/>
        <sz val="9"/>
        <color rgb="FF808080"/>
        <rFont val="WenQuanYi Zen Hei"/>
        <family val="2"/>
      </rPr>
      <t xml:space="preserve">수정하여 사용</t>
    </r>
    <r>
      <rPr>
        <i val="true"/>
        <sz val="9"/>
        <color rgb="FF808080"/>
        <rFont val="맑은 고딕"/>
        <family val="0"/>
        <charset val="1"/>
      </rPr>
      <t xml:space="preserve">)</t>
    </r>
  </si>
  <si>
    <t xml:space="preserve">위험성평가 기준표</t>
  </si>
  <si>
    <r>
      <rPr>
        <b val="true"/>
        <sz val="11"/>
        <rFont val="맑은 고딕"/>
        <family val="0"/>
        <charset val="1"/>
      </rPr>
      <t xml:space="preserve">1. </t>
    </r>
    <r>
      <rPr>
        <b val="true"/>
        <sz val="11"/>
        <rFont val="WenQuanYi Zen Hei"/>
        <family val="2"/>
      </rPr>
      <t xml:space="preserve">가능성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빈도</t>
    </r>
    <r>
      <rPr>
        <b val="true"/>
        <sz val="11"/>
        <rFont val="맑은 고딕"/>
        <family val="0"/>
        <charset val="1"/>
      </rPr>
      <t xml:space="preserve">) </t>
    </r>
    <r>
      <rPr>
        <b val="true"/>
        <sz val="11"/>
        <rFont val="WenQuanYi Zen Hei"/>
        <family val="2"/>
      </rPr>
      <t xml:space="preserve">평가기준</t>
    </r>
  </si>
  <si>
    <t xml:space="preserve">등급</t>
  </si>
  <si>
    <t xml:space="preserve">구분</t>
  </si>
  <si>
    <t xml:space="preserve">평가기준</t>
  </si>
  <si>
    <t xml:space="preserve">거의 발생하지 않음</t>
  </si>
  <si>
    <r>
      <rPr>
        <sz val="10"/>
        <rFont val="WenQuanYi Zen Hei"/>
        <family val="2"/>
      </rPr>
      <t xml:space="preserve">특별한 상황에서만 발생 가능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연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회 미만</t>
    </r>
    <r>
      <rPr>
        <sz val="10"/>
        <rFont val="맑은 고딕"/>
        <family val="0"/>
        <charset val="1"/>
      </rPr>
      <t xml:space="preserve">)</t>
    </r>
  </si>
  <si>
    <t xml:space="preserve">발생 가능성 낮음</t>
  </si>
  <si>
    <r>
      <rPr>
        <sz val="10"/>
        <rFont val="WenQuanYi Zen Hei"/>
        <family val="2"/>
      </rPr>
      <t xml:space="preserve">예외적인 상황에서 발생 가능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연 </t>
    </r>
    <r>
      <rPr>
        <sz val="10"/>
        <rFont val="맑은 고딕"/>
        <family val="0"/>
        <charset val="1"/>
      </rPr>
      <t xml:space="preserve">1~2</t>
    </r>
    <r>
      <rPr>
        <sz val="10"/>
        <rFont val="WenQuanYi Zen Hei"/>
        <family val="2"/>
      </rPr>
      <t xml:space="preserve">회</t>
    </r>
    <r>
      <rPr>
        <sz val="10"/>
        <rFont val="맑은 고딕"/>
        <family val="0"/>
        <charset val="1"/>
      </rPr>
      <t xml:space="preserve">)</t>
    </r>
  </si>
  <si>
    <t xml:space="preserve">때때로 발생</t>
  </si>
  <si>
    <r>
      <rPr>
        <sz val="10"/>
        <rFont val="WenQuanYi Zen Hei"/>
        <family val="2"/>
      </rPr>
      <t xml:space="preserve">특정 조건에서 발생 가능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월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회 이상</t>
    </r>
    <r>
      <rPr>
        <sz val="10"/>
        <rFont val="맑은 고딕"/>
        <family val="0"/>
        <charset val="1"/>
      </rPr>
      <t xml:space="preserve">)</t>
    </r>
  </si>
  <si>
    <t xml:space="preserve">발생 가능성 높음</t>
  </si>
  <si>
    <r>
      <rPr>
        <sz val="10"/>
        <rFont val="WenQuanYi Zen Hei"/>
        <family val="2"/>
      </rPr>
      <t xml:space="preserve">작업 중 자주 발생할 수 있음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주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회 이상</t>
    </r>
    <r>
      <rPr>
        <sz val="10"/>
        <rFont val="맑은 고딕"/>
        <family val="0"/>
        <charset val="1"/>
      </rPr>
      <t xml:space="preserve">)</t>
    </r>
  </si>
  <si>
    <t xml:space="preserve">매우 빈번히 발생</t>
  </si>
  <si>
    <r>
      <rPr>
        <sz val="10"/>
        <rFont val="WenQuanYi Zen Hei"/>
        <family val="2"/>
      </rPr>
      <t xml:space="preserve">상시적으로 발생 가능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일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회 이상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상존 위험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</si>
  <si>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1"/>
        <rFont val="맑은 고딕"/>
        <family val="0"/>
        <charset val="1"/>
      </rPr>
      <t xml:space="preserve">2. </t>
    </r>
    <r>
      <rPr>
        <b val="true"/>
        <sz val="11"/>
        <rFont val="WenQuanYi Zen Hei"/>
        <family val="2"/>
      </rPr>
      <t xml:space="preserve">중대성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강도</t>
    </r>
    <r>
      <rPr>
        <b val="true"/>
        <sz val="11"/>
        <rFont val="맑은 고딕"/>
        <family val="0"/>
        <charset val="1"/>
      </rPr>
      <t xml:space="preserve">) </t>
    </r>
    <r>
      <rPr>
        <b val="true"/>
        <sz val="11"/>
        <rFont val="WenQuanYi Zen Hei"/>
        <family val="2"/>
      </rPr>
      <t xml:space="preserve">평가기준</t>
    </r>
  </si>
  <si>
    <t xml:space="preserve">경미</t>
  </si>
  <si>
    <r>
      <rPr>
        <sz val="10"/>
        <rFont val="WenQuanYi Zen Hei"/>
        <family val="2"/>
      </rPr>
      <t xml:space="preserve">응급조치 후 정상작업 가능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부상 없음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경미한 불편</t>
    </r>
    <r>
      <rPr>
        <sz val="10"/>
        <rFont val="맑은 고딕"/>
        <family val="0"/>
        <charset val="1"/>
      </rPr>
      <t xml:space="preserve">)</t>
    </r>
  </si>
  <si>
    <t xml:space="preserve">경상</t>
  </si>
  <si>
    <r>
      <rPr>
        <sz val="10"/>
        <rFont val="WenQuanYi Zen Hei"/>
        <family val="2"/>
      </rPr>
      <t xml:space="preserve">병원 통원 치료 수준의 경미한 부상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휴업재해 미만</t>
    </r>
    <r>
      <rPr>
        <sz val="10"/>
        <rFont val="맑은 고딕"/>
        <family val="0"/>
        <charset val="1"/>
      </rPr>
      <t xml:space="preserve">)</t>
    </r>
  </si>
  <si>
    <t xml:space="preserve">중등도</t>
  </si>
  <si>
    <r>
      <rPr>
        <sz val="10"/>
        <rFont val="WenQuanYi Zen Hei"/>
        <family val="2"/>
      </rPr>
      <t xml:space="preserve">일정 기간 치료가 필요한 부상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휴업재해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부분 휴업</t>
    </r>
    <r>
      <rPr>
        <sz val="10"/>
        <rFont val="맑은 고딕"/>
        <family val="0"/>
        <charset val="1"/>
      </rPr>
      <t xml:space="preserve">)</t>
    </r>
  </si>
  <si>
    <t xml:space="preserve">중상</t>
  </si>
  <si>
    <r>
      <rPr>
        <sz val="10"/>
        <rFont val="WenQuanYi Zen Hei"/>
        <family val="2"/>
      </rPr>
      <t xml:space="preserve">장기 치료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후유증이 남는 중대한 부상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신체장해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장기휴업</t>
    </r>
    <r>
      <rPr>
        <sz val="10"/>
        <rFont val="맑은 고딕"/>
        <family val="0"/>
        <charset val="1"/>
      </rPr>
      <t xml:space="preserve">)</t>
    </r>
  </si>
  <si>
    <t xml:space="preserve">치명적</t>
  </si>
  <si>
    <r>
      <rPr>
        <sz val="10"/>
        <rFont val="WenQuanYi Zen Hei"/>
        <family val="2"/>
      </rPr>
      <t xml:space="preserve">사망 또는 영구적 장해를 초래하는 재해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사망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중대재해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</si>
  <si>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1"/>
        <rFont val="맑은 고딕"/>
        <family val="0"/>
        <charset val="1"/>
      </rPr>
      <t xml:space="preserve">3. </t>
    </r>
    <r>
      <rPr>
        <b val="true"/>
        <sz val="11"/>
        <rFont val="WenQuanYi Zen Hei"/>
        <family val="2"/>
      </rPr>
      <t xml:space="preserve">위험성 매트릭스 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위험성 </t>
    </r>
    <r>
      <rPr>
        <b val="true"/>
        <sz val="11"/>
        <rFont val="맑은 고딕"/>
        <family val="0"/>
        <charset val="1"/>
      </rPr>
      <t xml:space="preserve">= </t>
    </r>
    <r>
      <rPr>
        <b val="true"/>
        <sz val="11"/>
        <rFont val="WenQuanYi Zen Hei"/>
        <family val="2"/>
      </rPr>
      <t xml:space="preserve">가능성 </t>
    </r>
    <r>
      <rPr>
        <b val="true"/>
        <sz val="11"/>
        <rFont val="맑은 고딕"/>
        <family val="0"/>
        <charset val="1"/>
      </rPr>
      <t xml:space="preserve">× </t>
    </r>
    <r>
      <rPr>
        <b val="true"/>
        <sz val="11"/>
        <rFont val="WenQuanYi Zen Hei"/>
        <family val="2"/>
      </rPr>
      <t xml:space="preserve">중대성</t>
    </r>
    <r>
      <rPr>
        <b val="true"/>
        <sz val="11"/>
        <rFont val="맑은 고딕"/>
        <family val="0"/>
        <charset val="1"/>
      </rPr>
      <t xml:space="preserve">)</t>
    </r>
  </si>
  <si>
    <t xml:space="preserve">가능성</t>
  </si>
  <si>
    <r>
      <rPr>
        <b val="true"/>
        <sz val="10"/>
        <rFont val="WenQuanYi Zen Hei"/>
        <family val="2"/>
      </rPr>
      <t xml:space="preserve">중대성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강도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</si>
  <si>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1"/>
        <rFont val="맑은 고딕"/>
        <family val="0"/>
        <charset val="1"/>
      </rPr>
      <t xml:space="preserve">4. </t>
    </r>
    <r>
      <rPr>
        <b val="true"/>
        <sz val="11"/>
        <rFont val="WenQuanYi Zen Hei"/>
        <family val="2"/>
      </rPr>
      <t xml:space="preserve">위험성 수준 및 허용 가능 여부 판단기준</t>
    </r>
  </si>
  <si>
    <t xml:space="preserve">위험성 점수</t>
  </si>
  <si>
    <t xml:space="preserve">위험 수준</t>
  </si>
  <si>
    <t xml:space="preserve">색상</t>
  </si>
  <si>
    <t xml:space="preserve">허용가능 여부 및 조치기준</t>
  </si>
  <si>
    <t xml:space="preserve">16 ~ 25</t>
  </si>
  <si>
    <t xml:space="preserve">매우높음</t>
  </si>
  <si>
    <r>
      <rPr>
        <sz val="10"/>
        <rFont val="WenQuanYi Zen Hei"/>
        <family val="2"/>
      </rPr>
      <t xml:space="preserve">허용 불가 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즉시 작업중지 후 개선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개선 전 작업 금지</t>
    </r>
  </si>
  <si>
    <t xml:space="preserve">10 ~ 15</t>
  </si>
  <si>
    <t xml:space="preserve">높음</t>
  </si>
  <si>
    <r>
      <rPr>
        <sz val="10"/>
        <rFont val="WenQuanYi Zen Hei"/>
        <family val="2"/>
      </rPr>
      <t xml:space="preserve">우선 개선 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단기간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가능한 즉시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내 감소대책 수립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이행</t>
    </r>
  </si>
  <si>
    <t xml:space="preserve">5 ~ 9</t>
  </si>
  <si>
    <t xml:space="preserve">보통</t>
  </si>
  <si>
    <r>
      <rPr>
        <sz val="10"/>
        <rFont val="WenQuanYi Zen Hei"/>
        <family val="2"/>
      </rPr>
      <t xml:space="preserve">계획적 개선 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중장기 계획을 수립하여 관리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개선</t>
    </r>
  </si>
  <si>
    <t xml:space="preserve">1 ~ 4</t>
  </si>
  <si>
    <t xml:space="preserve">낮음</t>
  </si>
  <si>
    <r>
      <rPr>
        <sz val="10"/>
        <rFont val="WenQuanYi Zen Hei"/>
        <family val="2"/>
      </rPr>
      <t xml:space="preserve">허용 가능 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현재 안전조치 유지 및 지속 관리</t>
    </r>
  </si>
  <si>
    <r>
      <rPr>
        <i val="true"/>
        <sz val="9"/>
        <color rgb="FF808080"/>
        <rFont val="WenQuanYi Zen Hei"/>
        <family val="2"/>
      </rPr>
      <t xml:space="preserve">※ 본 기준은 </t>
    </r>
    <r>
      <rPr>
        <i val="true"/>
        <sz val="9"/>
        <color rgb="FF808080"/>
        <rFont val="맑은 고딕"/>
        <family val="0"/>
        <charset val="1"/>
      </rPr>
      <t xml:space="preserve">KOSHA(</t>
    </r>
    <r>
      <rPr>
        <i val="true"/>
        <sz val="9"/>
        <color rgb="FF808080"/>
        <rFont val="WenQuanYi Zen Hei"/>
        <family val="2"/>
      </rPr>
      <t xml:space="preserve">한국산업안전보건공단</t>
    </r>
    <r>
      <rPr>
        <i val="true"/>
        <sz val="9"/>
        <color rgb="FF808080"/>
        <rFont val="맑은 고딕"/>
        <family val="0"/>
        <charset val="1"/>
      </rPr>
      <t xml:space="preserve">) </t>
    </r>
    <r>
      <rPr>
        <i val="true"/>
        <sz val="9"/>
        <color rgb="FF808080"/>
        <rFont val="WenQuanYi Zen Hei"/>
        <family val="2"/>
      </rPr>
      <t xml:space="preserve">위험성평가 지침을 참고하여 작성한 예시이며</t>
    </r>
    <r>
      <rPr>
        <i val="true"/>
        <sz val="9"/>
        <color rgb="FF808080"/>
        <rFont val="맑은 고딕"/>
        <family val="0"/>
        <charset val="1"/>
      </rPr>
      <t xml:space="preserve">, </t>
    </r>
    <r>
      <rPr>
        <i val="true"/>
        <sz val="9"/>
        <color rgb="FF808080"/>
        <rFont val="WenQuanYi Zen Hei"/>
        <family val="2"/>
      </rPr>
      <t xml:space="preserve">사업장 특성에 맞게 조정하여 사용하십시오</t>
    </r>
    <r>
      <rPr>
        <i val="true"/>
        <sz val="9"/>
        <color rgb="FF808080"/>
        <rFont val="맑은 고딕"/>
        <family val="0"/>
        <charset val="1"/>
      </rPr>
      <t xml:space="preserve">.</t>
    </r>
  </si>
  <si>
    <t xml:space="preserve">위 험 성 평 가 표</t>
  </si>
  <si>
    <r>
      <rPr>
        <b val="true"/>
        <sz val="10"/>
        <rFont val="WenQuanYi Zen Hei"/>
        <family val="2"/>
      </rPr>
      <t xml:space="preserve">현장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사업장</t>
    </r>
    <r>
      <rPr>
        <b val="true"/>
        <sz val="10"/>
        <rFont val="맑은 고딕"/>
        <family val="0"/>
        <charset val="1"/>
      </rPr>
      <t xml:space="preserve">)</t>
    </r>
    <r>
      <rPr>
        <b val="true"/>
        <sz val="10"/>
        <rFont val="WenQuanYi Zen Hei"/>
        <family val="2"/>
      </rPr>
      <t xml:space="preserve">명</t>
    </r>
    <r>
      <rPr>
        <b val="true"/>
        <sz val="10"/>
        <rFont val="맑은 고딕"/>
        <family val="0"/>
        <charset val="1"/>
      </rPr>
      <t xml:space="preserve">:</t>
    </r>
  </si>
  <si>
    <r>
      <rPr>
        <b val="true"/>
        <sz val="10"/>
        <rFont val="WenQuanYi Zen Hei"/>
        <family val="2"/>
      </rPr>
      <t xml:space="preserve">평가일자</t>
    </r>
    <r>
      <rPr>
        <b val="true"/>
        <sz val="10"/>
        <rFont val="맑은 고딕"/>
        <family val="0"/>
        <charset val="1"/>
      </rPr>
      <t xml:space="preserve">:</t>
    </r>
  </si>
  <si>
    <t xml:space="preserve">No</t>
  </si>
  <si>
    <t xml:space="preserve">공정명</t>
  </si>
  <si>
    <t xml:space="preserve">작업내용</t>
  </si>
  <si>
    <r>
      <rPr>
        <b val="true"/>
        <sz val="10"/>
        <rFont val="WenQuanYi Zen Hei"/>
        <family val="2"/>
      </rPr>
      <t xml:space="preserve">유해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위험요인</t>
    </r>
  </si>
  <si>
    <t xml:space="preserve">관련 근거</t>
  </si>
  <si>
    <t xml:space="preserve">현재 안전보건조치</t>
  </si>
  <si>
    <r>
      <rPr>
        <b val="true"/>
        <sz val="10"/>
        <rFont val="WenQuanYi Zen Hei"/>
        <family val="2"/>
      </rPr>
      <t xml:space="preserve">위험성 추정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결정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개선전</t>
    </r>
    <r>
      <rPr>
        <b val="true"/>
        <sz val="10"/>
        <rFont val="맑은 고딕"/>
        <family val="0"/>
        <charset val="1"/>
      </rPr>
      <t xml:space="preserve">)</t>
    </r>
  </si>
  <si>
    <t xml:space="preserve">감소대책</t>
  </si>
  <si>
    <r>
      <rPr>
        <b val="true"/>
        <sz val="10"/>
        <rFont val="WenQuanYi Zen Hei"/>
        <family val="2"/>
      </rPr>
      <t xml:space="preserve">위험성 재평가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개선후</t>
    </r>
    <r>
      <rPr>
        <b val="true"/>
        <sz val="10"/>
        <rFont val="맑은 고딕"/>
        <family val="0"/>
        <charset val="1"/>
      </rPr>
      <t xml:space="preserve">)</t>
    </r>
  </si>
  <si>
    <t xml:space="preserve">담당자</t>
  </si>
  <si>
    <t xml:space="preserve">조치완료일</t>
  </si>
  <si>
    <t xml:space="preserve">비고</t>
  </si>
  <si>
    <t xml:space="preserve">중대성</t>
  </si>
  <si>
    <t xml:space="preserve">위험성</t>
  </si>
  <si>
    <t xml:space="preserve">수준</t>
  </si>
  <si>
    <t xml:space="preserve">가설공사</t>
  </si>
  <si>
    <t xml:space="preserve">비계 설치 작업</t>
  </si>
  <si>
    <r>
      <rPr>
        <sz val="10"/>
        <rFont val="WenQuanYi Zen Hei"/>
        <family val="2"/>
      </rPr>
      <t xml:space="preserve">고소작업 중 추락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비계 자재 낙하</t>
    </r>
  </si>
  <si>
    <r>
      <rPr>
        <sz val="10"/>
        <rFont val="WenQuanYi Zen Hei"/>
        <family val="2"/>
      </rPr>
      <t xml:space="preserve">산업안전보건기준에
관한 규칙 제</t>
    </r>
    <r>
      <rPr>
        <sz val="10"/>
        <rFont val="맑은 고딕"/>
        <family val="0"/>
        <charset val="1"/>
      </rPr>
      <t xml:space="preserve">42</t>
    </r>
    <r>
      <rPr>
        <sz val="10"/>
        <rFont val="WenQuanYi Zen Hei"/>
        <family val="2"/>
      </rPr>
      <t xml:space="preserve">조</t>
    </r>
  </si>
  <si>
    <r>
      <rPr>
        <sz val="10"/>
        <rFont val="WenQuanYi Zen Hei"/>
        <family val="2"/>
      </rPr>
      <t xml:space="preserve">안전대 착용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작업발판 설치</t>
    </r>
    <r>
      <rPr>
        <sz val="10"/>
        <rFont val="맑은 고딕"/>
        <family val="0"/>
        <charset val="1"/>
      </rPr>
      <t xml:space="preserve">,
</t>
    </r>
    <r>
      <rPr>
        <sz val="10"/>
        <rFont val="WenQuanYi Zen Hei"/>
        <family val="2"/>
      </rPr>
      <t xml:space="preserve">하부 출입통제</t>
    </r>
  </si>
  <si>
    <r>
      <rPr>
        <sz val="10"/>
        <rFont val="WenQuanYi Zen Hei"/>
        <family val="2"/>
      </rPr>
      <t xml:space="preserve">안전대 걸이시설 설치 및 착용 상태 확인</t>
    </r>
    <r>
      <rPr>
        <sz val="10"/>
        <rFont val="맑은 고딕"/>
        <family val="0"/>
        <charset val="1"/>
      </rPr>
      <t xml:space="preserve">,
</t>
    </r>
    <r>
      <rPr>
        <sz val="10"/>
        <rFont val="WenQuanYi Zen Hei"/>
        <family val="2"/>
      </rPr>
      <t xml:space="preserve">낙하물 방지망 설치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작업지휘자 배치</t>
    </r>
  </si>
  <si>
    <t xml:space="preserve">안전관리자</t>
  </si>
  <si>
    <t xml:space="preserve">2026-09-30</t>
  </si>
  <si>
    <t xml:space="preserve">굴착공사</t>
  </si>
  <si>
    <t xml:space="preserve">터파기 및 흙막이 작업</t>
  </si>
  <si>
    <r>
      <rPr>
        <sz val="10"/>
        <rFont val="WenQuanYi Zen Hei"/>
        <family val="2"/>
      </rPr>
      <t xml:space="preserve">토사 붕괴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매설물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가스관 등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손상</t>
    </r>
  </si>
  <si>
    <r>
      <rPr>
        <sz val="10"/>
        <rFont val="WenQuanYi Zen Hei"/>
        <family val="2"/>
      </rPr>
      <t xml:space="preserve">산업안전보건기준에
관한 규칙 제</t>
    </r>
    <r>
      <rPr>
        <sz val="10"/>
        <rFont val="맑은 고딕"/>
        <family val="0"/>
        <charset val="1"/>
      </rPr>
      <t xml:space="preserve">338</t>
    </r>
    <r>
      <rPr>
        <sz val="10"/>
        <rFont val="WenQuanYi Zen Hei"/>
        <family val="2"/>
      </rPr>
      <t xml:space="preserve">조</t>
    </r>
  </si>
  <si>
    <r>
      <rPr>
        <sz val="10"/>
        <rFont val="WenQuanYi Zen Hei"/>
        <family val="2"/>
      </rPr>
      <t xml:space="preserve">흙막이 지보공 설치</t>
    </r>
    <r>
      <rPr>
        <sz val="10"/>
        <rFont val="맑은 고딕"/>
        <family val="0"/>
        <charset val="1"/>
      </rPr>
      <t xml:space="preserve">,
</t>
    </r>
    <r>
      <rPr>
        <sz val="10"/>
        <rFont val="WenQuanYi Zen Hei"/>
        <family val="2"/>
      </rPr>
      <t xml:space="preserve">지반 계측관리</t>
    </r>
  </si>
  <si>
    <r>
      <rPr>
        <sz val="10"/>
        <rFont val="WenQuanYi Zen Hei"/>
        <family val="2"/>
      </rPr>
      <t xml:space="preserve">굴착면 기울기 준수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매설물 사전 조사 및 표시</t>
    </r>
    <r>
      <rPr>
        <sz val="10"/>
        <rFont val="맑은 고딕"/>
        <family val="0"/>
        <charset val="1"/>
      </rPr>
      <t xml:space="preserve">,
</t>
    </r>
    <r>
      <rPr>
        <sz val="10"/>
        <rFont val="WenQuanYi Zen Hei"/>
        <family val="2"/>
      </rPr>
      <t xml:space="preserve">계측기 설치 후 일일 점검</t>
    </r>
  </si>
  <si>
    <t xml:space="preserve">공사감독자</t>
  </si>
  <si>
    <t xml:space="preserve">2026-09-25</t>
  </si>
  <si>
    <t xml:space="preserve">전기공사</t>
  </si>
  <si>
    <t xml:space="preserve">가설 전기설비 작업</t>
  </si>
  <si>
    <r>
      <rPr>
        <sz val="10"/>
        <rFont val="WenQuanYi Zen Hei"/>
        <family val="2"/>
      </rPr>
      <t xml:space="preserve">감전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누전으로 인한 화재</t>
    </r>
  </si>
  <si>
    <r>
      <rPr>
        <sz val="10"/>
        <rFont val="WenQuanYi Zen Hei"/>
        <family val="2"/>
      </rPr>
      <t xml:space="preserve">산업안전보건기준에
관한 규칙 제</t>
    </r>
    <r>
      <rPr>
        <sz val="10"/>
        <rFont val="맑은 고딕"/>
        <family val="0"/>
        <charset val="1"/>
      </rPr>
      <t xml:space="preserve">301</t>
    </r>
    <r>
      <rPr>
        <sz val="10"/>
        <rFont val="WenQuanYi Zen Hei"/>
        <family val="2"/>
      </rPr>
      <t xml:space="preserve">조</t>
    </r>
  </si>
  <si>
    <r>
      <rPr>
        <sz val="10"/>
        <rFont val="WenQuanYi Zen Hei"/>
        <family val="2"/>
      </rPr>
      <t xml:space="preserve">누전차단기 설치</t>
    </r>
    <r>
      <rPr>
        <sz val="10"/>
        <rFont val="맑은 고딕"/>
        <family val="0"/>
        <charset val="1"/>
      </rPr>
      <t xml:space="preserve">,
</t>
    </r>
    <r>
      <rPr>
        <sz val="10"/>
        <rFont val="WenQuanYi Zen Hei"/>
        <family val="2"/>
      </rPr>
      <t xml:space="preserve">접지 실시</t>
    </r>
  </si>
  <si>
    <r>
      <rPr>
        <sz val="10"/>
        <rFont val="WenQuanYi Zen Hei"/>
        <family val="2"/>
      </rPr>
      <t xml:space="preserve">정기 절연저항 측정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습윤장소 방수형 콘센트 사용</t>
    </r>
    <r>
      <rPr>
        <sz val="10"/>
        <rFont val="맑은 고딕"/>
        <family val="0"/>
        <charset val="1"/>
      </rPr>
      <t xml:space="preserve">,
</t>
    </r>
    <r>
      <rPr>
        <sz val="10"/>
        <rFont val="WenQuanYi Zen Hei"/>
        <family val="2"/>
      </rPr>
      <t xml:space="preserve">작업 전 검전 실시</t>
    </r>
  </si>
  <si>
    <t xml:space="preserve">전기안전관리자</t>
  </si>
  <si>
    <t xml:space="preserve">2026-09-20</t>
  </si>
  <si>
    <t xml:space="preserve">양중공사</t>
  </si>
  <si>
    <t xml:space="preserve">타워크레인 인양 작업</t>
  </si>
  <si>
    <r>
      <rPr>
        <sz val="10"/>
        <rFont val="WenQuanYi Zen Hei"/>
        <family val="2"/>
      </rPr>
      <t xml:space="preserve">인양물 낙하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크레인 전도</t>
    </r>
  </si>
  <si>
    <r>
      <rPr>
        <sz val="10"/>
        <rFont val="WenQuanYi Zen Hei"/>
        <family val="2"/>
      </rPr>
      <t xml:space="preserve">산업안전보건기준에
관한 규칙 제</t>
    </r>
    <r>
      <rPr>
        <sz val="10"/>
        <rFont val="맑은 고딕"/>
        <family val="0"/>
        <charset val="1"/>
      </rPr>
      <t xml:space="preserve">146</t>
    </r>
    <r>
      <rPr>
        <sz val="10"/>
        <rFont val="WenQuanYi Zen Hei"/>
        <family val="2"/>
      </rPr>
      <t xml:space="preserve">조</t>
    </r>
  </si>
  <si>
    <r>
      <rPr>
        <sz val="10"/>
        <rFont val="WenQuanYi Zen Hei"/>
        <family val="2"/>
      </rPr>
      <t xml:space="preserve">정격하중 준수</t>
    </r>
    <r>
      <rPr>
        <sz val="10"/>
        <rFont val="맑은 고딕"/>
        <family val="0"/>
        <charset val="1"/>
      </rPr>
      <t xml:space="preserve">,
</t>
    </r>
    <r>
      <rPr>
        <sz val="10"/>
        <rFont val="WenQuanYi Zen Hei"/>
        <family val="2"/>
      </rPr>
      <t xml:space="preserve">신호수 배치</t>
    </r>
  </si>
  <si>
    <r>
      <rPr>
        <sz val="10"/>
        <rFont val="WenQuanYi Zen Hei"/>
        <family val="2"/>
      </rPr>
      <t xml:space="preserve">인양경로 하부 통제구역 설정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와이어로프 정기점검</t>
    </r>
    <r>
      <rPr>
        <sz val="10"/>
        <rFont val="맑은 고딕"/>
        <family val="0"/>
        <charset val="1"/>
      </rPr>
      <t xml:space="preserve">,
</t>
    </r>
    <r>
      <rPr>
        <sz val="10"/>
        <rFont val="WenQuanYi Zen Hei"/>
        <family val="2"/>
      </rPr>
      <t xml:space="preserve">강풍 시 작업중지 기준 수립</t>
    </r>
  </si>
  <si>
    <t xml:space="preserve">양중기 운전자</t>
  </si>
  <si>
    <t xml:space="preserve">2026-09-15</t>
  </si>
  <si>
    <t xml:space="preserve">콘크리트공사</t>
  </si>
  <si>
    <t xml:space="preserve">타설 및 양생 작업</t>
  </si>
  <si>
    <r>
      <rPr>
        <sz val="10"/>
        <rFont val="WenQuanYi Zen Hei"/>
        <family val="2"/>
      </rPr>
      <t xml:space="preserve">거푸집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동바리 붕괴</t>
    </r>
  </si>
  <si>
    <r>
      <rPr>
        <sz val="10"/>
        <rFont val="WenQuanYi Zen Hei"/>
        <family val="2"/>
      </rPr>
      <t xml:space="preserve">산업안전보건기준에
관한 규칙 제</t>
    </r>
    <r>
      <rPr>
        <sz val="10"/>
        <rFont val="맑은 고딕"/>
        <family val="0"/>
        <charset val="1"/>
      </rPr>
      <t xml:space="preserve">332</t>
    </r>
    <r>
      <rPr>
        <sz val="10"/>
        <rFont val="WenQuanYi Zen Hei"/>
        <family val="2"/>
      </rPr>
      <t xml:space="preserve">조</t>
    </r>
  </si>
  <si>
    <r>
      <rPr>
        <sz val="10"/>
        <rFont val="WenQuanYi Zen Hei"/>
        <family val="2"/>
      </rPr>
      <t xml:space="preserve">동바리 설치기준 준수</t>
    </r>
    <r>
      <rPr>
        <sz val="10"/>
        <rFont val="맑은 고딕"/>
        <family val="0"/>
        <charset val="1"/>
      </rPr>
      <t xml:space="preserve">,
</t>
    </r>
    <r>
      <rPr>
        <sz val="10"/>
        <rFont val="WenQuanYi Zen Hei"/>
        <family val="2"/>
      </rPr>
      <t xml:space="preserve">타설 순서 계획</t>
    </r>
  </si>
  <si>
    <r>
      <rPr>
        <sz val="10"/>
        <rFont val="WenQuanYi Zen Hei"/>
        <family val="2"/>
      </rPr>
      <t xml:space="preserve">동바리 조립도 검토 및 검측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콘크리트 타설 속도 조절</t>
    </r>
    <r>
      <rPr>
        <sz val="10"/>
        <rFont val="맑은 고딕"/>
        <family val="0"/>
        <charset val="1"/>
      </rPr>
      <t xml:space="preserve">,
</t>
    </r>
    <r>
      <rPr>
        <sz val="10"/>
        <rFont val="WenQuanYi Zen Hei"/>
        <family val="2"/>
      </rPr>
      <t xml:space="preserve">붕괴 위험구간 접근 통제</t>
    </r>
  </si>
  <si>
    <t xml:space="preserve">품질관리자</t>
  </si>
  <si>
    <t xml:space="preserve">2026-09-10</t>
  </si>
  <si>
    <r>
      <rPr>
        <i val="true"/>
        <sz val="9"/>
        <color rgb="FF808080"/>
        <rFont val="WenQuanYi Zen Hei"/>
        <family val="2"/>
      </rPr>
      <t xml:space="preserve">※ 회색 음영</t>
    </r>
    <r>
      <rPr>
        <i val="true"/>
        <sz val="9"/>
        <color rgb="FF808080"/>
        <rFont val="맑은 고딕"/>
        <family val="0"/>
        <charset val="1"/>
      </rPr>
      <t xml:space="preserve">(1~5</t>
    </r>
    <r>
      <rPr>
        <i val="true"/>
        <sz val="9"/>
        <color rgb="FF808080"/>
        <rFont val="WenQuanYi Zen Hei"/>
        <family val="2"/>
      </rPr>
      <t xml:space="preserve">행 예시</t>
    </r>
    <r>
      <rPr>
        <i val="true"/>
        <sz val="9"/>
        <color rgb="FF808080"/>
        <rFont val="맑은 고딕"/>
        <family val="0"/>
        <charset val="1"/>
      </rPr>
      <t xml:space="preserve">)</t>
    </r>
    <r>
      <rPr>
        <i val="true"/>
        <sz val="9"/>
        <color rgb="FF808080"/>
        <rFont val="WenQuanYi Zen Hei"/>
        <family val="2"/>
      </rPr>
      <t xml:space="preserve">은 작성 예시입니다</t>
    </r>
    <r>
      <rPr>
        <i val="true"/>
        <sz val="9"/>
        <color rgb="FF808080"/>
        <rFont val="맑은 고딕"/>
        <family val="0"/>
        <charset val="1"/>
      </rPr>
      <t xml:space="preserve">. </t>
    </r>
    <r>
      <rPr>
        <i val="true"/>
        <sz val="9"/>
        <color rgb="FF808080"/>
        <rFont val="WenQuanYi Zen Hei"/>
        <family val="2"/>
      </rPr>
      <t xml:space="preserve">실제 평가 시 현장 상황에 맞게 수정하십시오</t>
    </r>
    <r>
      <rPr>
        <i val="true"/>
        <sz val="9"/>
        <color rgb="FF808080"/>
        <rFont val="맑은 고딕"/>
        <family val="0"/>
        <charset val="1"/>
      </rPr>
      <t xml:space="preserve">. </t>
    </r>
    <r>
      <rPr>
        <i val="true"/>
        <sz val="9"/>
        <color rgb="FF808080"/>
        <rFont val="WenQuanYi Zen Hei"/>
        <family val="2"/>
      </rPr>
      <t xml:space="preserve">노란색 셀은 직접 입력하는 항목이며</t>
    </r>
    <r>
      <rPr>
        <i val="true"/>
        <sz val="9"/>
        <color rgb="FF808080"/>
        <rFont val="맑은 고딕"/>
        <family val="0"/>
        <charset val="1"/>
      </rPr>
      <t xml:space="preserve">, </t>
    </r>
    <r>
      <rPr>
        <i val="true"/>
        <sz val="9"/>
        <color rgb="FF808080"/>
        <rFont val="WenQuanYi Zen Hei"/>
        <family val="2"/>
      </rPr>
      <t xml:space="preserve">가능성</t>
    </r>
    <r>
      <rPr>
        <i val="true"/>
        <sz val="9"/>
        <color rgb="FF808080"/>
        <rFont val="맑은 고딕"/>
        <family val="0"/>
        <charset val="1"/>
      </rPr>
      <t xml:space="preserve">·</t>
    </r>
    <r>
      <rPr>
        <i val="true"/>
        <sz val="9"/>
        <color rgb="FF808080"/>
        <rFont val="WenQuanYi Zen Hei"/>
        <family val="2"/>
      </rPr>
      <t xml:space="preserve">중대성은 </t>
    </r>
    <r>
      <rPr>
        <i val="true"/>
        <sz val="9"/>
        <color rgb="FF808080"/>
        <rFont val="맑은 고딕"/>
        <family val="0"/>
        <charset val="1"/>
      </rPr>
      <t xml:space="preserve">1~5 </t>
    </r>
    <r>
      <rPr>
        <i val="true"/>
        <sz val="9"/>
        <color rgb="FF808080"/>
        <rFont val="WenQuanYi Zen Hei"/>
        <family val="2"/>
      </rPr>
      <t xml:space="preserve">사이의 값을 입력하면 위험성</t>
    </r>
    <r>
      <rPr>
        <i val="true"/>
        <sz val="9"/>
        <color rgb="FF808080"/>
        <rFont val="맑은 고딕"/>
        <family val="0"/>
        <charset val="1"/>
      </rPr>
      <t xml:space="preserve">·</t>
    </r>
    <r>
      <rPr>
        <i val="true"/>
        <sz val="9"/>
        <color rgb="FF808080"/>
        <rFont val="WenQuanYi Zen Hei"/>
        <family val="2"/>
      </rPr>
      <t xml:space="preserve">수준이 자동 계산됩니다</t>
    </r>
    <r>
      <rPr>
        <i val="true"/>
        <sz val="9"/>
        <color rgb="FF808080"/>
        <rFont val="맑은 고딕"/>
        <family val="0"/>
        <charset val="1"/>
      </rPr>
      <t xml:space="preserve">.</t>
    </r>
  </si>
  <si>
    <t xml:space="preserve">개선대책 이행확인 대장</t>
  </si>
  <si>
    <t xml:space="preserve">개선전
위험성</t>
  </si>
  <si>
    <t xml:space="preserve">개선후
위험성</t>
  </si>
  <si>
    <t xml:space="preserve">계획
완료일</t>
  </si>
  <si>
    <t xml:space="preserve">실제
완료일</t>
  </si>
  <si>
    <t xml:space="preserve">이행
여부</t>
  </si>
  <si>
    <t xml:space="preserve">확인자</t>
  </si>
  <si>
    <t xml:space="preserve">비계 설치 작업 중 추락</t>
  </si>
  <si>
    <t xml:space="preserve">진행중</t>
  </si>
  <si>
    <r>
      <rPr>
        <i val="true"/>
        <sz val="9"/>
        <color rgb="FF808080"/>
        <rFont val="맑은 고딕"/>
        <family val="0"/>
        <charset val="1"/>
      </rPr>
      <t xml:space="preserve">※ E~F</t>
    </r>
    <r>
      <rPr>
        <i val="true"/>
        <sz val="9"/>
        <color rgb="FF808080"/>
        <rFont val="WenQuanYi Zen Hei"/>
        <family val="2"/>
      </rPr>
      <t xml:space="preserve">열은 </t>
    </r>
    <r>
      <rPr>
        <i val="true"/>
        <sz val="9"/>
        <color rgb="FF808080"/>
        <rFont val="맑은 고딕"/>
        <family val="0"/>
        <charset val="1"/>
      </rPr>
      <t xml:space="preserve">'</t>
    </r>
    <r>
      <rPr>
        <i val="true"/>
        <sz val="9"/>
        <color rgb="FF808080"/>
        <rFont val="WenQuanYi Zen Hei"/>
        <family val="2"/>
      </rPr>
      <t xml:space="preserve">위험성평가표</t>
    </r>
    <r>
      <rPr>
        <i val="true"/>
        <sz val="9"/>
        <color rgb="FF808080"/>
        <rFont val="맑은 고딕"/>
        <family val="0"/>
        <charset val="1"/>
      </rPr>
      <t xml:space="preserve">' </t>
    </r>
    <r>
      <rPr>
        <i val="true"/>
        <sz val="9"/>
        <color rgb="FF808080"/>
        <rFont val="WenQuanYi Zen Hei"/>
        <family val="2"/>
      </rPr>
      <t xml:space="preserve">시트 값을 자동 참조합니다</t>
    </r>
    <r>
      <rPr>
        <i val="true"/>
        <sz val="9"/>
        <color rgb="FF808080"/>
        <rFont val="맑은 고딕"/>
        <family val="0"/>
        <charset val="1"/>
      </rPr>
      <t xml:space="preserve">(</t>
    </r>
    <r>
      <rPr>
        <i val="true"/>
        <sz val="9"/>
        <color rgb="FF808080"/>
        <rFont val="WenQuanYi Zen Hei"/>
        <family val="2"/>
      </rPr>
      <t xml:space="preserve">예시 </t>
    </r>
    <r>
      <rPr>
        <i val="true"/>
        <sz val="9"/>
        <color rgb="FF808080"/>
        <rFont val="맑은 고딕"/>
        <family val="0"/>
        <charset val="1"/>
      </rPr>
      <t xml:space="preserve">1</t>
    </r>
    <r>
      <rPr>
        <i val="true"/>
        <sz val="9"/>
        <color rgb="FF808080"/>
        <rFont val="WenQuanYi Zen Hei"/>
        <family val="2"/>
      </rPr>
      <t xml:space="preserve">행</t>
    </r>
    <r>
      <rPr>
        <i val="true"/>
        <sz val="9"/>
        <color rgb="FF808080"/>
        <rFont val="맑은 고딕"/>
        <family val="0"/>
        <charset val="1"/>
      </rPr>
      <t xml:space="preserve">). </t>
    </r>
    <r>
      <rPr>
        <i val="true"/>
        <sz val="9"/>
        <color rgb="FF808080"/>
        <rFont val="WenQuanYi Zen Hei"/>
        <family val="2"/>
      </rPr>
      <t xml:space="preserve">신규 행 작성 시 동일한 방식으로 수식을 연결하거나 직접 입력하십시오</t>
    </r>
    <r>
      <rPr>
        <i val="true"/>
        <sz val="9"/>
        <color rgb="FF808080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</si>
</sst>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305496"/>
      <name val="WenQuanYi Zen Hei"/>
      <family val="2"/>
    </font>
    <font>
      <i val="true"/>
      <sz val="11"/>
      <color rgb="FF595959"/>
      <name val="맑은 고딕"/>
      <family val="0"/>
      <charset val="1"/>
    </font>
    <font>
      <i val="true"/>
      <sz val="11"/>
      <color rgb="FF595959"/>
      <name val="WenQuanYi Zen Hei"/>
      <family val="2"/>
    </font>
    <font>
      <b val="true"/>
      <sz val="11"/>
      <name val="맑은 고딕"/>
      <family val="0"/>
      <charset val="1"/>
    </font>
    <font>
      <b val="true"/>
      <sz val="11"/>
      <name val="WenQuanYi Zen Hei"/>
      <family val="2"/>
    </font>
    <font>
      <b val="true"/>
      <sz val="10"/>
      <name val="WenQuanYi Zen Hei"/>
      <family val="2"/>
    </font>
    <font>
      <b val="true"/>
      <sz val="10"/>
      <name val="맑은 고딕"/>
      <family val="0"/>
      <charset val="1"/>
    </font>
    <font>
      <sz val="10"/>
      <color rgb="FF0000FF"/>
      <name val="맑은 고딕"/>
      <family val="0"/>
      <charset val="1"/>
    </font>
    <font>
      <sz val="10"/>
      <name val="WenQuanYi Zen Hei"/>
      <family val="2"/>
    </font>
    <font>
      <sz val="10"/>
      <name val="맑은 고딕"/>
      <family val="0"/>
      <charset val="1"/>
    </font>
    <font>
      <i val="true"/>
      <sz val="9"/>
      <color rgb="FF808080"/>
      <name val="WenQuanYi Zen Hei"/>
      <family val="2"/>
    </font>
    <font>
      <i val="true"/>
      <sz val="9"/>
      <color rgb="FF808080"/>
      <name val="맑은 고딕"/>
      <family val="0"/>
      <charset val="1"/>
    </font>
    <font>
      <b val="true"/>
      <sz val="16"/>
      <color rgb="FFFFFFFF"/>
      <name val="WenQuanYi Zen Hei"/>
      <family val="2"/>
    </font>
  </fonts>
  <fills count="10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305496"/>
        <bgColor rgb="FF595959"/>
      </patternFill>
    </fill>
    <fill>
      <patternFill patternType="solid">
        <fgColor rgb="FFFF0000"/>
        <bgColor rgb="FF993300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C6E0B4"/>
        <bgColor rgb="FFD9E1F2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5" min="5" style="0" width="30"/>
    <col collapsed="false" customWidth="true" hidden="false" outlineLevel="0" max="6" min="6" style="0" width="4"/>
  </cols>
  <sheetData>
    <row r="2" customFormat="false" ht="15" hidden="false" customHeight="true" outlineLevel="0" collapsed="false">
      <c r="B2" s="1" t="s">
        <v>0</v>
      </c>
      <c r="C2" s="1"/>
      <c r="D2" s="1"/>
      <c r="E2" s="1"/>
    </row>
    <row r="3" customFormat="false" ht="15" hidden="false" customHeight="false" outlineLevel="0" collapsed="false">
      <c r="B3" s="1"/>
      <c r="C3" s="1"/>
      <c r="D3" s="1"/>
      <c r="E3" s="1"/>
    </row>
    <row r="4" customFormat="false" ht="15" hidden="false" customHeight="true" outlineLevel="0" collapsed="false">
      <c r="B4" s="2" t="s">
        <v>1</v>
      </c>
      <c r="C4" s="2"/>
      <c r="D4" s="2"/>
      <c r="E4" s="2"/>
    </row>
    <row r="6" customFormat="false" ht="15" hidden="false" customHeight="true" outlineLevel="0" collapsed="false">
      <c r="B6" s="3" t="s">
        <v>2</v>
      </c>
      <c r="C6" s="3"/>
      <c r="D6" s="3"/>
      <c r="E6" s="3"/>
    </row>
    <row r="7" customFormat="false" ht="19.5" hidden="false" customHeight="true" outlineLevel="0" collapsed="false">
      <c r="B7" s="4" t="s">
        <v>3</v>
      </c>
      <c r="C7" s="5"/>
      <c r="D7" s="4" t="s">
        <v>4</v>
      </c>
      <c r="E7" s="5"/>
    </row>
    <row r="8" customFormat="false" ht="19.5" hidden="false" customHeight="true" outlineLevel="0" collapsed="false">
      <c r="B8" s="4" t="s">
        <v>5</v>
      </c>
      <c r="C8" s="5"/>
      <c r="D8" s="4" t="s">
        <v>6</v>
      </c>
      <c r="E8" s="5"/>
    </row>
    <row r="9" customFormat="false" ht="19.5" hidden="false" customHeight="true" outlineLevel="0" collapsed="false">
      <c r="B9" s="4" t="s">
        <v>7</v>
      </c>
      <c r="C9" s="5"/>
      <c r="D9" s="4" t="s">
        <v>8</v>
      </c>
      <c r="E9" s="5"/>
    </row>
    <row r="10" customFormat="false" ht="19.5" hidden="false" customHeight="true" outlineLevel="0" collapsed="false">
      <c r="B10" s="4" t="s">
        <v>9</v>
      </c>
      <c r="C10" s="5"/>
      <c r="D10" s="4" t="s">
        <v>10</v>
      </c>
      <c r="E10" s="5"/>
    </row>
    <row r="11" customFormat="false" ht="19.5" hidden="false" customHeight="true" outlineLevel="0" collapsed="false">
      <c r="B11" s="4" t="s">
        <v>11</v>
      </c>
      <c r="C11" s="5"/>
      <c r="D11" s="4" t="s">
        <v>12</v>
      </c>
      <c r="E11" s="5"/>
    </row>
    <row r="12" customFormat="false" ht="19.5" hidden="false" customHeight="true" outlineLevel="0" collapsed="false">
      <c r="B12" s="4" t="s">
        <v>13</v>
      </c>
      <c r="C12" s="5"/>
      <c r="D12" s="4" t="s">
        <v>14</v>
      </c>
      <c r="E12" s="5"/>
    </row>
    <row r="14" customFormat="false" ht="15" hidden="false" customHeight="false" outlineLevel="0" collapsed="false">
      <c r="B14" s="6" t="s">
        <v>15</v>
      </c>
      <c r="C14" s="6"/>
      <c r="D14" s="6"/>
      <c r="E14" s="6"/>
    </row>
    <row r="15" customFormat="false" ht="15" hidden="false" customHeight="true" outlineLevel="0" collapsed="false">
      <c r="B15" s="7" t="s">
        <v>16</v>
      </c>
      <c r="C15" s="7"/>
      <c r="D15" s="7"/>
      <c r="E15" s="7"/>
    </row>
    <row r="16" customFormat="false" ht="15" hidden="false" customHeight="false" outlineLevel="0" collapsed="false">
      <c r="B16" s="7"/>
      <c r="C16" s="7"/>
      <c r="D16" s="7"/>
      <c r="E16" s="7"/>
    </row>
    <row r="17" customFormat="false" ht="15" hidden="false" customHeight="false" outlineLevel="0" collapsed="false">
      <c r="B17" s="7"/>
      <c r="C17" s="7"/>
      <c r="D17" s="7"/>
      <c r="E17" s="7"/>
    </row>
    <row r="19" customFormat="false" ht="15" hidden="false" customHeight="false" outlineLevel="0" collapsed="false">
      <c r="B19" s="6" t="s">
        <v>17</v>
      </c>
      <c r="C19" s="6"/>
      <c r="D19" s="6"/>
      <c r="E19" s="6"/>
    </row>
    <row r="20" customFormat="false" ht="18" hidden="false" customHeight="true" outlineLevel="0" collapsed="false">
      <c r="B20" s="8" t="s">
        <v>18</v>
      </c>
      <c r="C20" s="9" t="s">
        <v>19</v>
      </c>
      <c r="D20" s="9"/>
      <c r="E20" s="9"/>
    </row>
    <row r="21" customFormat="false" ht="18" hidden="false" customHeight="true" outlineLevel="0" collapsed="false">
      <c r="B21" s="8" t="s">
        <v>20</v>
      </c>
      <c r="C21" s="9" t="s">
        <v>21</v>
      </c>
      <c r="D21" s="9"/>
      <c r="E21" s="9"/>
    </row>
    <row r="22" customFormat="false" ht="18" hidden="false" customHeight="true" outlineLevel="0" collapsed="false">
      <c r="B22" s="8" t="s">
        <v>22</v>
      </c>
      <c r="C22" s="9" t="s">
        <v>23</v>
      </c>
      <c r="D22" s="9"/>
      <c r="E22" s="9"/>
    </row>
    <row r="24" customFormat="false" ht="15" hidden="false" customHeight="false" outlineLevel="0" collapsed="false">
      <c r="B24" s="10" t="s">
        <v>24</v>
      </c>
      <c r="C24" s="10"/>
      <c r="D24" s="10"/>
      <c r="E24" s="10"/>
    </row>
  </sheetData>
  <mergeCells count="10">
    <mergeCell ref="B2:E3"/>
    <mergeCell ref="B4:E4"/>
    <mergeCell ref="B6:E6"/>
    <mergeCell ref="B14:E14"/>
    <mergeCell ref="B15:E17"/>
    <mergeCell ref="B19:E19"/>
    <mergeCell ref="C20:E20"/>
    <mergeCell ref="C21:E21"/>
    <mergeCell ref="C22:E22"/>
    <mergeCell ref="B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45"/>
    <col collapsed="false" customWidth="true" hidden="false" outlineLevel="0" max="4" min="4" style="0" width="3"/>
    <col collapsed="false" customWidth="true" hidden="false" outlineLevel="0" max="8" min="5" style="0" width="10"/>
  </cols>
  <sheetData>
    <row r="2" customFormat="false" ht="25.5" hidden="false" customHeight="true" outlineLevel="0" collapsed="false">
      <c r="B2" s="11" t="s">
        <v>25</v>
      </c>
      <c r="C2" s="11"/>
      <c r="D2" s="11"/>
      <c r="E2" s="11"/>
      <c r="F2" s="11"/>
      <c r="G2" s="11"/>
      <c r="H2" s="11"/>
    </row>
    <row r="4" customFormat="false" ht="15" hidden="false" customHeight="false" outlineLevel="0" collapsed="false">
      <c r="B4" s="6" t="s">
        <v>26</v>
      </c>
      <c r="C4" s="6"/>
      <c r="D4" s="6"/>
      <c r="E4" s="6"/>
      <c r="F4" s="6"/>
      <c r="G4" s="6"/>
      <c r="H4" s="6"/>
    </row>
    <row r="5" customFormat="false" ht="15" hidden="false" customHeight="true" outlineLevel="0" collapsed="false">
      <c r="B5" s="4" t="s">
        <v>27</v>
      </c>
      <c r="C5" s="4" t="s">
        <v>28</v>
      </c>
      <c r="D5" s="12" t="s">
        <v>29</v>
      </c>
      <c r="E5" s="12"/>
      <c r="F5" s="12"/>
      <c r="G5" s="12"/>
      <c r="H5" s="12"/>
    </row>
    <row r="6" customFormat="false" ht="15" hidden="false" customHeight="true" outlineLevel="0" collapsed="false">
      <c r="B6" s="13" t="n">
        <v>1</v>
      </c>
      <c r="C6" s="14" t="s">
        <v>30</v>
      </c>
      <c r="D6" s="15" t="s">
        <v>31</v>
      </c>
      <c r="E6" s="15"/>
      <c r="F6" s="15"/>
      <c r="G6" s="15"/>
      <c r="H6" s="15"/>
    </row>
    <row r="7" customFormat="false" ht="15" hidden="false" customHeight="true" outlineLevel="0" collapsed="false">
      <c r="B7" s="14" t="n">
        <v>2</v>
      </c>
      <c r="C7" s="14" t="s">
        <v>32</v>
      </c>
      <c r="D7" s="15" t="s">
        <v>33</v>
      </c>
      <c r="E7" s="15"/>
      <c r="F7" s="15"/>
      <c r="G7" s="15"/>
      <c r="H7" s="15"/>
    </row>
    <row r="8" customFormat="false" ht="15" hidden="false" customHeight="true" outlineLevel="0" collapsed="false">
      <c r="B8" s="14" t="n">
        <v>3</v>
      </c>
      <c r="C8" s="14" t="s">
        <v>34</v>
      </c>
      <c r="D8" s="15" t="s">
        <v>35</v>
      </c>
      <c r="E8" s="15"/>
      <c r="F8" s="15"/>
      <c r="G8" s="15"/>
      <c r="H8" s="15"/>
    </row>
    <row r="9" customFormat="false" ht="15" hidden="false" customHeight="true" outlineLevel="0" collapsed="false">
      <c r="B9" s="14" t="n">
        <v>4</v>
      </c>
      <c r="C9" s="14" t="s">
        <v>36</v>
      </c>
      <c r="D9" s="15" t="s">
        <v>37</v>
      </c>
      <c r="E9" s="15"/>
      <c r="F9" s="15"/>
      <c r="G9" s="15"/>
      <c r="H9" s="15"/>
    </row>
    <row r="10" customFormat="false" ht="15" hidden="false" customHeight="true" outlineLevel="0" collapsed="false">
      <c r="B10" s="14" t="n">
        <v>5</v>
      </c>
      <c r="C10" s="14" t="s">
        <v>38</v>
      </c>
      <c r="D10" s="15" t="s">
        <v>39</v>
      </c>
      <c r="E10" s="15"/>
      <c r="F10" s="15"/>
      <c r="G10" s="15"/>
      <c r="H10" s="15"/>
    </row>
    <row r="12" customFormat="false" ht="15" hidden="false" customHeight="false" outlineLevel="0" collapsed="false">
      <c r="B12" s="6" t="s">
        <v>40</v>
      </c>
      <c r="C12" s="6"/>
      <c r="D12" s="6"/>
      <c r="E12" s="6"/>
      <c r="F12" s="6"/>
      <c r="G12" s="6"/>
      <c r="H12" s="6"/>
    </row>
    <row r="13" customFormat="false" ht="15" hidden="false" customHeight="true" outlineLevel="0" collapsed="false">
      <c r="B13" s="4" t="s">
        <v>27</v>
      </c>
      <c r="C13" s="4" t="s">
        <v>28</v>
      </c>
      <c r="D13" s="12" t="s">
        <v>29</v>
      </c>
      <c r="E13" s="12"/>
      <c r="F13" s="12"/>
      <c r="G13" s="12"/>
      <c r="H13" s="12"/>
    </row>
    <row r="14" customFormat="false" ht="15" hidden="false" customHeight="true" outlineLevel="0" collapsed="false">
      <c r="B14" s="14" t="n">
        <v>1</v>
      </c>
      <c r="C14" s="14" t="s">
        <v>41</v>
      </c>
      <c r="D14" s="15" t="s">
        <v>42</v>
      </c>
      <c r="E14" s="15"/>
      <c r="F14" s="15"/>
      <c r="G14" s="15"/>
      <c r="H14" s="15"/>
    </row>
    <row r="15" customFormat="false" ht="15" hidden="false" customHeight="true" outlineLevel="0" collapsed="false">
      <c r="B15" s="14" t="n">
        <v>2</v>
      </c>
      <c r="C15" s="14" t="s">
        <v>43</v>
      </c>
      <c r="D15" s="15" t="s">
        <v>44</v>
      </c>
      <c r="E15" s="15"/>
      <c r="F15" s="15"/>
      <c r="G15" s="15"/>
      <c r="H15" s="15"/>
    </row>
    <row r="16" customFormat="false" ht="15" hidden="false" customHeight="true" outlineLevel="0" collapsed="false">
      <c r="B16" s="14" t="n">
        <v>3</v>
      </c>
      <c r="C16" s="14" t="s">
        <v>45</v>
      </c>
      <c r="D16" s="15" t="s">
        <v>46</v>
      </c>
      <c r="E16" s="15"/>
      <c r="F16" s="15"/>
      <c r="G16" s="15"/>
      <c r="H16" s="15"/>
    </row>
    <row r="17" customFormat="false" ht="15" hidden="false" customHeight="true" outlineLevel="0" collapsed="false">
      <c r="B17" s="14" t="n">
        <v>4</v>
      </c>
      <c r="C17" s="14" t="s">
        <v>47</v>
      </c>
      <c r="D17" s="15" t="s">
        <v>48</v>
      </c>
      <c r="E17" s="15"/>
      <c r="F17" s="15"/>
      <c r="G17" s="15"/>
      <c r="H17" s="15"/>
    </row>
    <row r="18" customFormat="false" ht="15" hidden="false" customHeight="true" outlineLevel="0" collapsed="false">
      <c r="B18" s="14" t="n">
        <v>5</v>
      </c>
      <c r="C18" s="14" t="s">
        <v>49</v>
      </c>
      <c r="D18" s="15" t="s">
        <v>50</v>
      </c>
      <c r="E18" s="15"/>
      <c r="F18" s="15"/>
      <c r="G18" s="15"/>
      <c r="H18" s="15"/>
    </row>
    <row r="20" customFormat="false" ht="15" hidden="false" customHeight="false" outlineLevel="0" collapsed="false">
      <c r="B20" s="6" t="s">
        <v>51</v>
      </c>
      <c r="C20" s="6"/>
      <c r="D20" s="6"/>
      <c r="E20" s="6"/>
      <c r="F20" s="6"/>
      <c r="G20" s="6"/>
      <c r="H20" s="6"/>
    </row>
    <row r="21" customFormat="false" ht="15" hidden="false" customHeight="true" outlineLevel="0" collapsed="false">
      <c r="B21" s="16" t="s">
        <v>52</v>
      </c>
      <c r="C21" s="16" t="s">
        <v>53</v>
      </c>
      <c r="D21" s="16"/>
      <c r="E21" s="16"/>
      <c r="F21" s="16"/>
      <c r="G21" s="16"/>
    </row>
    <row r="22" customFormat="false" ht="15" hidden="false" customHeight="false" outlineLevel="0" collapsed="false">
      <c r="B22" s="16"/>
      <c r="C22" s="4" t="n">
        <v>1</v>
      </c>
      <c r="D22" s="4" t="n">
        <v>2</v>
      </c>
      <c r="E22" s="4" t="n">
        <v>3</v>
      </c>
      <c r="F22" s="4" t="n">
        <v>4</v>
      </c>
      <c r="G22" s="4" t="n">
        <v>5</v>
      </c>
    </row>
    <row r="23" customFormat="false" ht="15" hidden="false" customHeight="false" outlineLevel="0" collapsed="false">
      <c r="B23" s="4" t="n">
        <v>5</v>
      </c>
      <c r="C23" s="17" t="n">
        <v>5</v>
      </c>
      <c r="D23" s="17" t="n">
        <v>10</v>
      </c>
      <c r="E23" s="17" t="n">
        <v>15</v>
      </c>
      <c r="F23" s="17" t="n">
        <v>20</v>
      </c>
      <c r="G23" s="17" t="n">
        <v>25</v>
      </c>
    </row>
    <row r="24" customFormat="false" ht="15" hidden="false" customHeight="false" outlineLevel="0" collapsed="false">
      <c r="B24" s="4" t="n">
        <v>4</v>
      </c>
      <c r="C24" s="17" t="n">
        <v>4</v>
      </c>
      <c r="D24" s="17" t="n">
        <v>8</v>
      </c>
      <c r="E24" s="17" t="n">
        <v>12</v>
      </c>
      <c r="F24" s="17" t="n">
        <v>16</v>
      </c>
      <c r="G24" s="17" t="n">
        <v>20</v>
      </c>
    </row>
    <row r="25" customFormat="false" ht="15" hidden="false" customHeight="false" outlineLevel="0" collapsed="false">
      <c r="B25" s="4" t="n">
        <v>3</v>
      </c>
      <c r="C25" s="17" t="n">
        <v>3</v>
      </c>
      <c r="D25" s="17" t="n">
        <v>6</v>
      </c>
      <c r="E25" s="17" t="n">
        <v>9</v>
      </c>
      <c r="F25" s="17" t="n">
        <v>12</v>
      </c>
      <c r="G25" s="17" t="n">
        <v>15</v>
      </c>
    </row>
    <row r="26" customFormat="false" ht="15" hidden="false" customHeight="false" outlineLevel="0" collapsed="false">
      <c r="B26" s="4" t="n">
        <v>2</v>
      </c>
      <c r="C26" s="17" t="n">
        <v>2</v>
      </c>
      <c r="D26" s="17" t="n">
        <v>4</v>
      </c>
      <c r="E26" s="17" t="n">
        <v>6</v>
      </c>
      <c r="F26" s="17" t="n">
        <v>8</v>
      </c>
      <c r="G26" s="17" t="n">
        <v>10</v>
      </c>
    </row>
    <row r="27" customFormat="false" ht="15" hidden="false" customHeight="false" outlineLevel="0" collapsed="false">
      <c r="B27" s="4" t="n">
        <v>1</v>
      </c>
      <c r="C27" s="17" t="n">
        <v>1</v>
      </c>
      <c r="D27" s="17" t="n">
        <v>2</v>
      </c>
      <c r="E27" s="17" t="n">
        <v>3</v>
      </c>
      <c r="F27" s="17" t="n">
        <v>4</v>
      </c>
      <c r="G27" s="17" t="n">
        <v>5</v>
      </c>
    </row>
    <row r="29" customFormat="false" ht="15" hidden="false" customHeight="false" outlineLevel="0" collapsed="false">
      <c r="B29" s="6" t="s">
        <v>54</v>
      </c>
      <c r="C29" s="6"/>
      <c r="D29" s="6"/>
      <c r="E29" s="6"/>
      <c r="F29" s="6"/>
      <c r="G29" s="6"/>
      <c r="H29" s="6"/>
    </row>
    <row r="30" customFormat="false" ht="15" hidden="false" customHeight="true" outlineLevel="0" collapsed="false">
      <c r="B30" s="4" t="s">
        <v>55</v>
      </c>
      <c r="C30" s="4" t="s">
        <v>56</v>
      </c>
      <c r="D30" s="12" t="s">
        <v>57</v>
      </c>
      <c r="E30" s="12"/>
      <c r="F30" s="12" t="s">
        <v>58</v>
      </c>
      <c r="G30" s="12"/>
      <c r="H30" s="12"/>
    </row>
    <row r="31" customFormat="false" ht="26.85" hidden="false" customHeight="true" outlineLevel="0" collapsed="false">
      <c r="B31" s="13" t="s">
        <v>59</v>
      </c>
      <c r="C31" s="14" t="s">
        <v>60</v>
      </c>
      <c r="D31" s="18"/>
      <c r="E31" s="18"/>
      <c r="F31" s="15" t="s">
        <v>61</v>
      </c>
      <c r="G31" s="15"/>
      <c r="H31" s="15"/>
    </row>
    <row r="32" customFormat="false" ht="26.85" hidden="false" customHeight="true" outlineLevel="0" collapsed="false">
      <c r="B32" s="13" t="s">
        <v>62</v>
      </c>
      <c r="C32" s="14" t="s">
        <v>63</v>
      </c>
      <c r="D32" s="19"/>
      <c r="E32" s="19"/>
      <c r="F32" s="15" t="s">
        <v>64</v>
      </c>
      <c r="G32" s="15"/>
      <c r="H32" s="15"/>
    </row>
    <row r="33" customFormat="false" ht="26.85" hidden="false" customHeight="true" outlineLevel="0" collapsed="false">
      <c r="B33" s="13" t="s">
        <v>65</v>
      </c>
      <c r="C33" s="14" t="s">
        <v>66</v>
      </c>
      <c r="D33" s="20"/>
      <c r="E33" s="20"/>
      <c r="F33" s="15" t="s">
        <v>67</v>
      </c>
      <c r="G33" s="15"/>
      <c r="H33" s="15"/>
    </row>
    <row r="34" customFormat="false" ht="15" hidden="false" customHeight="true" outlineLevel="0" collapsed="false">
      <c r="B34" s="13" t="s">
        <v>68</v>
      </c>
      <c r="C34" s="14" t="s">
        <v>69</v>
      </c>
      <c r="D34" s="21"/>
      <c r="E34" s="21"/>
      <c r="F34" s="15" t="s">
        <v>70</v>
      </c>
      <c r="G34" s="15"/>
      <c r="H34" s="15"/>
    </row>
    <row r="36" customFormat="false" ht="15" hidden="false" customHeight="false" outlineLevel="0" collapsed="false">
      <c r="B36" s="10" t="s">
        <v>71</v>
      </c>
      <c r="C36" s="10"/>
      <c r="D36" s="10"/>
      <c r="E36" s="10"/>
      <c r="F36" s="10"/>
      <c r="G36" s="10"/>
      <c r="H36" s="10"/>
    </row>
  </sheetData>
  <mergeCells count="30">
    <mergeCell ref="B2:H2"/>
    <mergeCell ref="B4:H4"/>
    <mergeCell ref="D5:H5"/>
    <mergeCell ref="D6:H6"/>
    <mergeCell ref="D7:H7"/>
    <mergeCell ref="D8:H8"/>
    <mergeCell ref="D9:H9"/>
    <mergeCell ref="D10:H10"/>
    <mergeCell ref="B12:H12"/>
    <mergeCell ref="D13:H13"/>
    <mergeCell ref="D14:H14"/>
    <mergeCell ref="D15:H15"/>
    <mergeCell ref="D16:H16"/>
    <mergeCell ref="D17:H17"/>
    <mergeCell ref="D18:H18"/>
    <mergeCell ref="B20:H20"/>
    <mergeCell ref="B21:B22"/>
    <mergeCell ref="C21:G21"/>
    <mergeCell ref="B29:H29"/>
    <mergeCell ref="D30:E30"/>
    <mergeCell ref="F30:H30"/>
    <mergeCell ref="D31:E31"/>
    <mergeCell ref="F31:H31"/>
    <mergeCell ref="D32:E32"/>
    <mergeCell ref="F32:H32"/>
    <mergeCell ref="D33:E33"/>
    <mergeCell ref="F33:H33"/>
    <mergeCell ref="D34:E34"/>
    <mergeCell ref="F34:H34"/>
    <mergeCell ref="B36:H36"/>
  </mergeCells>
  <conditionalFormatting sqref="C23:G27">
    <cfRule type="cellIs" priority="2" operator="greaterThanOrEqual" aboveAverage="0" equalAverage="0" bottom="0" percent="0" rank="0" text="" dxfId="0">
      <formula>16</formula>
    </cfRule>
    <cfRule type="expression" priority="3" aboveAverage="0" equalAverage="0" bottom="0" percent="0" rank="0" text="" dxfId="1">
      <formula>AND(C23&gt;=10,C23&lt;=15)</formula>
    </cfRule>
    <cfRule type="cellIs" priority="4" operator="between" aboveAverage="0" equalAverage="0" bottom="0" percent="0" rank="0" text="" dxfId="1">
      <formula>10</formula>
      <formula>15</formula>
    </cfRule>
    <cfRule type="cellIs" priority="5" operator="between" aboveAverage="0" equalAverage="0" bottom="0" percent="0" rank="0" text="" dxfId="2">
      <formula>5</formula>
      <formula>9</formula>
    </cfRule>
    <cfRule type="cellIs" priority="6" operator="between" aboveAverage="0" equalAverage="0" bottom="0" percent="0" rank="0" text="" dxfId="3">
      <formula>1</formula>
      <formula>4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26"/>
    <col collapsed="false" customWidth="true" hidden="false" outlineLevel="0" max="8" min="7" style="0" width="6"/>
    <col collapsed="false" customWidth="true" hidden="false" outlineLevel="0" max="10" min="9" style="0" width="8"/>
    <col collapsed="false" customWidth="true" hidden="false" outlineLevel="0" max="11" min="11" style="0" width="28"/>
    <col collapsed="false" customWidth="true" hidden="false" outlineLevel="0" max="13" min="12" style="0" width="6"/>
    <col collapsed="false" customWidth="true" hidden="false" outlineLevel="0" max="16" min="14" style="0" width="8"/>
    <col collapsed="false" customWidth="true" hidden="false" outlineLevel="0" max="18" min="17" style="0" width="10"/>
  </cols>
  <sheetData>
    <row r="1" customFormat="false" ht="27.75" hidden="false" customHeight="true" outlineLevel="0" collapsed="false">
      <c r="A1" s="11" t="s">
        <v>72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customFormat="false" ht="18" hidden="false" customHeight="true" outlineLevel="0" collapsed="false">
      <c r="A2" s="22" t="s">
        <v>73</v>
      </c>
      <c r="B2" s="22"/>
      <c r="C2" s="22"/>
      <c r="D2" s="22"/>
      <c r="E2" s="23" t="str">
        <f aca="false">IF(표지!C7="","",표지!C7)</f>
        <v/>
      </c>
      <c r="F2" s="23"/>
      <c r="G2" s="23"/>
      <c r="H2" s="23"/>
      <c r="I2" s="23"/>
      <c r="J2" s="23"/>
      <c r="K2" s="22" t="s">
        <v>74</v>
      </c>
      <c r="L2" s="22"/>
      <c r="M2" s="22"/>
      <c r="N2" s="23" t="str">
        <f aca="false">IF(표지!E10="","",표지!E10)</f>
        <v/>
      </c>
      <c r="O2" s="23"/>
      <c r="P2" s="23"/>
      <c r="Q2" s="23"/>
      <c r="R2" s="23"/>
    </row>
    <row r="3" customFormat="false" ht="18" hidden="false" customHeight="true" outlineLevel="0" collapsed="false">
      <c r="A3" s="24" t="s">
        <v>75</v>
      </c>
      <c r="B3" s="4" t="s">
        <v>76</v>
      </c>
      <c r="C3" s="4" t="s">
        <v>77</v>
      </c>
      <c r="D3" s="4" t="s">
        <v>78</v>
      </c>
      <c r="E3" s="4" t="s">
        <v>79</v>
      </c>
      <c r="F3" s="4" t="s">
        <v>80</v>
      </c>
      <c r="G3" s="4" t="s">
        <v>81</v>
      </c>
      <c r="H3" s="4"/>
      <c r="I3" s="4"/>
      <c r="J3" s="4"/>
      <c r="K3" s="4" t="s">
        <v>82</v>
      </c>
      <c r="L3" s="4" t="s">
        <v>83</v>
      </c>
      <c r="M3" s="4"/>
      <c r="N3" s="4"/>
      <c r="O3" s="4"/>
      <c r="P3" s="4" t="s">
        <v>84</v>
      </c>
      <c r="Q3" s="4" t="s">
        <v>85</v>
      </c>
      <c r="R3" s="4" t="s">
        <v>86</v>
      </c>
    </row>
    <row r="4" customFormat="false" ht="18" hidden="false" customHeight="true" outlineLevel="0" collapsed="false">
      <c r="A4" s="24"/>
      <c r="B4" s="24"/>
      <c r="C4" s="24"/>
      <c r="D4" s="24"/>
      <c r="E4" s="24"/>
      <c r="F4" s="24"/>
      <c r="G4" s="4" t="s">
        <v>52</v>
      </c>
      <c r="H4" s="4" t="s">
        <v>87</v>
      </c>
      <c r="I4" s="4" t="s">
        <v>88</v>
      </c>
      <c r="J4" s="4" t="s">
        <v>89</v>
      </c>
      <c r="K4" s="4"/>
      <c r="L4" s="4" t="s">
        <v>52</v>
      </c>
      <c r="M4" s="4" t="s">
        <v>87</v>
      </c>
      <c r="N4" s="4" t="s">
        <v>88</v>
      </c>
      <c r="O4" s="4" t="s">
        <v>89</v>
      </c>
      <c r="P4" s="4"/>
      <c r="Q4" s="4"/>
      <c r="R4" s="4"/>
    </row>
    <row r="5" customFormat="false" ht="45.75" hidden="false" customHeight="true" outlineLevel="0" collapsed="false">
      <c r="A5" s="25" t="n">
        <v>1</v>
      </c>
      <c r="B5" s="26" t="s">
        <v>90</v>
      </c>
      <c r="C5" s="26" t="s">
        <v>91</v>
      </c>
      <c r="D5" s="26" t="s">
        <v>92</v>
      </c>
      <c r="E5" s="26" t="s">
        <v>93</v>
      </c>
      <c r="F5" s="26" t="s">
        <v>94</v>
      </c>
      <c r="G5" s="25" t="n">
        <v>4</v>
      </c>
      <c r="H5" s="25" t="n">
        <v>5</v>
      </c>
      <c r="I5" s="27" t="n">
        <f aca="false">G5*H5</f>
        <v>20</v>
      </c>
      <c r="J5" s="28" t="str">
        <f aca="false">IF(I5&gt;=16,"매우높음",IF(I5&gt;=10,"높음",IF(I5&gt;=5,"보통","낮음")))</f>
        <v>매우높음</v>
      </c>
      <c r="K5" s="26" t="s">
        <v>95</v>
      </c>
      <c r="L5" s="25" t="n">
        <v>2</v>
      </c>
      <c r="M5" s="25" t="n">
        <v>5</v>
      </c>
      <c r="N5" s="27" t="n">
        <f aca="false">L5*M5</f>
        <v>10</v>
      </c>
      <c r="O5" s="28" t="str">
        <f aca="false">IF(N5&gt;=16,"매우높음",IF(N5&gt;=10,"높음",IF(N5&gt;=5,"보통","낮음")))</f>
        <v>높음</v>
      </c>
      <c r="P5" s="28" t="s">
        <v>96</v>
      </c>
      <c r="Q5" s="25" t="s">
        <v>97</v>
      </c>
      <c r="R5" s="28"/>
    </row>
    <row r="6" customFormat="false" ht="45.75" hidden="false" customHeight="true" outlineLevel="0" collapsed="false">
      <c r="A6" s="28" t="n">
        <v>2</v>
      </c>
      <c r="B6" s="26" t="s">
        <v>98</v>
      </c>
      <c r="C6" s="26" t="s">
        <v>99</v>
      </c>
      <c r="D6" s="26" t="s">
        <v>100</v>
      </c>
      <c r="E6" s="26" t="s">
        <v>101</v>
      </c>
      <c r="F6" s="26" t="s">
        <v>102</v>
      </c>
      <c r="G6" s="25" t="n">
        <v>3</v>
      </c>
      <c r="H6" s="25" t="n">
        <v>5</v>
      </c>
      <c r="I6" s="27" t="n">
        <f aca="false">G6*H6</f>
        <v>15</v>
      </c>
      <c r="J6" s="28" t="str">
        <f aca="false">IF(I6&gt;=16,"매우높음",IF(I6&gt;=10,"높음",IF(I6&gt;=5,"보통","낮음")))</f>
        <v>높음</v>
      </c>
      <c r="K6" s="26" t="s">
        <v>103</v>
      </c>
      <c r="L6" s="25" t="n">
        <v>2</v>
      </c>
      <c r="M6" s="25" t="n">
        <v>5</v>
      </c>
      <c r="N6" s="27" t="n">
        <f aca="false">L6*M6</f>
        <v>10</v>
      </c>
      <c r="O6" s="28" t="str">
        <f aca="false">IF(N6&gt;=16,"매우높음",IF(N6&gt;=10,"높음",IF(N6&gt;=5,"보통","낮음")))</f>
        <v>높음</v>
      </c>
      <c r="P6" s="28" t="s">
        <v>104</v>
      </c>
      <c r="Q6" s="25" t="s">
        <v>105</v>
      </c>
      <c r="R6" s="28"/>
    </row>
    <row r="7" customFormat="false" ht="45.75" hidden="false" customHeight="true" outlineLevel="0" collapsed="false">
      <c r="A7" s="28" t="n">
        <v>3</v>
      </c>
      <c r="B7" s="26" t="s">
        <v>106</v>
      </c>
      <c r="C7" s="26" t="s">
        <v>107</v>
      </c>
      <c r="D7" s="26" t="s">
        <v>108</v>
      </c>
      <c r="E7" s="26" t="s">
        <v>109</v>
      </c>
      <c r="F7" s="26" t="s">
        <v>110</v>
      </c>
      <c r="G7" s="25" t="n">
        <v>3</v>
      </c>
      <c r="H7" s="25" t="n">
        <v>4</v>
      </c>
      <c r="I7" s="27" t="n">
        <f aca="false">G7*H7</f>
        <v>12</v>
      </c>
      <c r="J7" s="28" t="str">
        <f aca="false">IF(I7&gt;=16,"매우높음",IF(I7&gt;=10,"높음",IF(I7&gt;=5,"보통","낮음")))</f>
        <v>높음</v>
      </c>
      <c r="K7" s="26" t="s">
        <v>111</v>
      </c>
      <c r="L7" s="25" t="n">
        <v>1</v>
      </c>
      <c r="M7" s="25" t="n">
        <v>4</v>
      </c>
      <c r="N7" s="27" t="n">
        <f aca="false">L7*M7</f>
        <v>4</v>
      </c>
      <c r="O7" s="28" t="str">
        <f aca="false">IF(N7&gt;=16,"매우높음",IF(N7&gt;=10,"높음",IF(N7&gt;=5,"보통","낮음")))</f>
        <v>낮음</v>
      </c>
      <c r="P7" s="28" t="s">
        <v>112</v>
      </c>
      <c r="Q7" s="25" t="s">
        <v>113</v>
      </c>
      <c r="R7" s="28"/>
    </row>
    <row r="8" customFormat="false" ht="45.75" hidden="false" customHeight="true" outlineLevel="0" collapsed="false">
      <c r="A8" s="28" t="n">
        <v>4</v>
      </c>
      <c r="B8" s="26" t="s">
        <v>114</v>
      </c>
      <c r="C8" s="26" t="s">
        <v>115</v>
      </c>
      <c r="D8" s="26" t="s">
        <v>116</v>
      </c>
      <c r="E8" s="26" t="s">
        <v>117</v>
      </c>
      <c r="F8" s="26" t="s">
        <v>118</v>
      </c>
      <c r="G8" s="25" t="n">
        <v>3</v>
      </c>
      <c r="H8" s="25" t="n">
        <v>5</v>
      </c>
      <c r="I8" s="27" t="n">
        <f aca="false">G8*H8</f>
        <v>15</v>
      </c>
      <c r="J8" s="28" t="str">
        <f aca="false">IF(I8&gt;=16,"매우높음",IF(I8&gt;=10,"높음",IF(I8&gt;=5,"보통","낮음")))</f>
        <v>높음</v>
      </c>
      <c r="K8" s="26" t="s">
        <v>119</v>
      </c>
      <c r="L8" s="25" t="n">
        <v>1</v>
      </c>
      <c r="M8" s="25" t="n">
        <v>5</v>
      </c>
      <c r="N8" s="27" t="n">
        <f aca="false">L8*M8</f>
        <v>5</v>
      </c>
      <c r="O8" s="28" t="str">
        <f aca="false">IF(N8&gt;=16,"매우높음",IF(N8&gt;=10,"높음",IF(N8&gt;=5,"보통","낮음")))</f>
        <v>보통</v>
      </c>
      <c r="P8" s="28" t="s">
        <v>120</v>
      </c>
      <c r="Q8" s="25" t="s">
        <v>121</v>
      </c>
      <c r="R8" s="28"/>
    </row>
    <row r="9" customFormat="false" ht="45.75" hidden="false" customHeight="true" outlineLevel="0" collapsed="false">
      <c r="A9" s="28" t="n">
        <v>5</v>
      </c>
      <c r="B9" s="26" t="s">
        <v>122</v>
      </c>
      <c r="C9" s="26" t="s">
        <v>123</v>
      </c>
      <c r="D9" s="26" t="s">
        <v>124</v>
      </c>
      <c r="E9" s="26" t="s">
        <v>125</v>
      </c>
      <c r="F9" s="26" t="s">
        <v>126</v>
      </c>
      <c r="G9" s="25" t="n">
        <v>2</v>
      </c>
      <c r="H9" s="25" t="n">
        <v>5</v>
      </c>
      <c r="I9" s="27" t="n">
        <f aca="false">G9*H9</f>
        <v>10</v>
      </c>
      <c r="J9" s="28" t="str">
        <f aca="false">IF(I9&gt;=16,"매우높음",IF(I9&gt;=10,"높음",IF(I9&gt;=5,"보통","낮음")))</f>
        <v>높음</v>
      </c>
      <c r="K9" s="26" t="s">
        <v>127</v>
      </c>
      <c r="L9" s="25" t="n">
        <v>1</v>
      </c>
      <c r="M9" s="25" t="n">
        <v>5</v>
      </c>
      <c r="N9" s="27" t="n">
        <f aca="false">L9*M9</f>
        <v>5</v>
      </c>
      <c r="O9" s="28" t="str">
        <f aca="false">IF(N9&gt;=16,"매우높음",IF(N9&gt;=10,"높음",IF(N9&gt;=5,"보통","낮음")))</f>
        <v>보통</v>
      </c>
      <c r="P9" s="28" t="s">
        <v>128</v>
      </c>
      <c r="Q9" s="25" t="s">
        <v>129</v>
      </c>
      <c r="R9" s="28"/>
    </row>
    <row r="10" customFormat="false" ht="30" hidden="false" customHeight="true" outlineLevel="0" collapsed="false">
      <c r="A10" s="14" t="n">
        <v>6</v>
      </c>
      <c r="B10" s="29"/>
      <c r="C10" s="29"/>
      <c r="D10" s="29"/>
      <c r="E10" s="29"/>
      <c r="F10" s="29"/>
      <c r="G10" s="30"/>
      <c r="H10" s="30"/>
      <c r="I10" s="31" t="n">
        <f aca="false">G10*H10</f>
        <v>0</v>
      </c>
      <c r="J10" s="14" t="str">
        <f aca="false">IF(I10&gt;=16,"매우높음",IF(I10&gt;=10,"높음",IF(I10&gt;=5,"보통","낮음")))</f>
        <v>낮음</v>
      </c>
      <c r="K10" s="29"/>
      <c r="L10" s="30"/>
      <c r="M10" s="30"/>
      <c r="N10" s="31" t="n">
        <f aca="false">L10*M10</f>
        <v>0</v>
      </c>
      <c r="O10" s="14" t="str">
        <f aca="false">IF(N10&gt;=16,"매우높음",IF(N10&gt;=10,"높음",IF(N10&gt;=5,"보통","낮음")))</f>
        <v>낮음</v>
      </c>
      <c r="P10" s="30"/>
      <c r="Q10" s="30"/>
      <c r="R10" s="30"/>
    </row>
    <row r="11" customFormat="false" ht="30" hidden="false" customHeight="true" outlineLevel="0" collapsed="false">
      <c r="A11" s="14" t="n">
        <v>7</v>
      </c>
      <c r="B11" s="29"/>
      <c r="C11" s="29"/>
      <c r="D11" s="29"/>
      <c r="E11" s="29"/>
      <c r="F11" s="29"/>
      <c r="G11" s="30"/>
      <c r="H11" s="30"/>
      <c r="I11" s="31" t="n">
        <f aca="false">G11*H11</f>
        <v>0</v>
      </c>
      <c r="J11" s="14" t="str">
        <f aca="false">IF(I11&gt;=16,"매우높음",IF(I11&gt;=10,"높음",IF(I11&gt;=5,"보통","낮음")))</f>
        <v>낮음</v>
      </c>
      <c r="K11" s="29"/>
      <c r="L11" s="30"/>
      <c r="M11" s="30"/>
      <c r="N11" s="31" t="n">
        <f aca="false">L11*M11</f>
        <v>0</v>
      </c>
      <c r="O11" s="14" t="str">
        <f aca="false">IF(N11&gt;=16,"매우높음",IF(N11&gt;=10,"높음",IF(N11&gt;=5,"보통","낮음")))</f>
        <v>낮음</v>
      </c>
      <c r="P11" s="30"/>
      <c r="Q11" s="30"/>
      <c r="R11" s="30"/>
    </row>
    <row r="12" customFormat="false" ht="30" hidden="false" customHeight="true" outlineLevel="0" collapsed="false">
      <c r="A12" s="14" t="n">
        <v>8</v>
      </c>
      <c r="B12" s="29"/>
      <c r="C12" s="29"/>
      <c r="D12" s="29"/>
      <c r="E12" s="29"/>
      <c r="F12" s="29"/>
      <c r="G12" s="30"/>
      <c r="H12" s="30"/>
      <c r="I12" s="31" t="n">
        <f aca="false">G12*H12</f>
        <v>0</v>
      </c>
      <c r="J12" s="14" t="str">
        <f aca="false">IF(I12&gt;=16,"매우높음",IF(I12&gt;=10,"높음",IF(I12&gt;=5,"보통","낮음")))</f>
        <v>낮음</v>
      </c>
      <c r="K12" s="29"/>
      <c r="L12" s="30"/>
      <c r="M12" s="30"/>
      <c r="N12" s="31" t="n">
        <f aca="false">L12*M12</f>
        <v>0</v>
      </c>
      <c r="O12" s="14" t="str">
        <f aca="false">IF(N12&gt;=16,"매우높음",IF(N12&gt;=10,"높음",IF(N12&gt;=5,"보통","낮음")))</f>
        <v>낮음</v>
      </c>
      <c r="P12" s="30"/>
      <c r="Q12" s="30"/>
      <c r="R12" s="30"/>
    </row>
    <row r="13" customFormat="false" ht="30" hidden="false" customHeight="true" outlineLevel="0" collapsed="false">
      <c r="A13" s="14" t="n">
        <v>9</v>
      </c>
      <c r="B13" s="29"/>
      <c r="C13" s="29"/>
      <c r="D13" s="29"/>
      <c r="E13" s="29"/>
      <c r="F13" s="29"/>
      <c r="G13" s="30"/>
      <c r="H13" s="30"/>
      <c r="I13" s="31" t="n">
        <f aca="false">G13*H13</f>
        <v>0</v>
      </c>
      <c r="J13" s="14" t="str">
        <f aca="false">IF(I13&gt;=16,"매우높음",IF(I13&gt;=10,"높음",IF(I13&gt;=5,"보통","낮음")))</f>
        <v>낮음</v>
      </c>
      <c r="K13" s="29"/>
      <c r="L13" s="30"/>
      <c r="M13" s="30"/>
      <c r="N13" s="31" t="n">
        <f aca="false">L13*M13</f>
        <v>0</v>
      </c>
      <c r="O13" s="14" t="str">
        <f aca="false">IF(N13&gt;=16,"매우높음",IF(N13&gt;=10,"높음",IF(N13&gt;=5,"보통","낮음")))</f>
        <v>낮음</v>
      </c>
      <c r="P13" s="30"/>
      <c r="Q13" s="30"/>
      <c r="R13" s="30"/>
    </row>
    <row r="14" customFormat="false" ht="30" hidden="false" customHeight="true" outlineLevel="0" collapsed="false">
      <c r="A14" s="14" t="n">
        <v>10</v>
      </c>
      <c r="B14" s="29"/>
      <c r="C14" s="29"/>
      <c r="D14" s="29"/>
      <c r="E14" s="29"/>
      <c r="F14" s="29"/>
      <c r="G14" s="30"/>
      <c r="H14" s="30"/>
      <c r="I14" s="31" t="n">
        <f aca="false">G14*H14</f>
        <v>0</v>
      </c>
      <c r="J14" s="14" t="str">
        <f aca="false">IF(I14&gt;=16,"매우높음",IF(I14&gt;=10,"높음",IF(I14&gt;=5,"보통","낮음")))</f>
        <v>낮음</v>
      </c>
      <c r="K14" s="29"/>
      <c r="L14" s="30"/>
      <c r="M14" s="30"/>
      <c r="N14" s="31" t="n">
        <f aca="false">L14*M14</f>
        <v>0</v>
      </c>
      <c r="O14" s="14" t="str">
        <f aca="false">IF(N14&gt;=16,"매우높음",IF(N14&gt;=10,"높음",IF(N14&gt;=5,"보통","낮음")))</f>
        <v>낮음</v>
      </c>
      <c r="P14" s="30"/>
      <c r="Q14" s="30"/>
      <c r="R14" s="30"/>
    </row>
    <row r="15" customFormat="false" ht="30" hidden="false" customHeight="true" outlineLevel="0" collapsed="false">
      <c r="A15" s="14" t="n">
        <v>11</v>
      </c>
      <c r="B15" s="29"/>
      <c r="C15" s="29"/>
      <c r="D15" s="29"/>
      <c r="E15" s="29"/>
      <c r="F15" s="29"/>
      <c r="G15" s="30"/>
      <c r="H15" s="30"/>
      <c r="I15" s="31" t="n">
        <f aca="false">G15*H15</f>
        <v>0</v>
      </c>
      <c r="J15" s="14" t="str">
        <f aca="false">IF(I15&gt;=16,"매우높음",IF(I15&gt;=10,"높음",IF(I15&gt;=5,"보통","낮음")))</f>
        <v>낮음</v>
      </c>
      <c r="K15" s="29"/>
      <c r="L15" s="30"/>
      <c r="M15" s="30"/>
      <c r="N15" s="31" t="n">
        <f aca="false">L15*M15</f>
        <v>0</v>
      </c>
      <c r="O15" s="14" t="str">
        <f aca="false">IF(N15&gt;=16,"매우높음",IF(N15&gt;=10,"높음",IF(N15&gt;=5,"보통","낮음")))</f>
        <v>낮음</v>
      </c>
      <c r="P15" s="30"/>
      <c r="Q15" s="30"/>
      <c r="R15" s="30"/>
    </row>
    <row r="16" customFormat="false" ht="30" hidden="false" customHeight="true" outlineLevel="0" collapsed="false">
      <c r="A16" s="14" t="n">
        <v>12</v>
      </c>
      <c r="B16" s="29"/>
      <c r="C16" s="29"/>
      <c r="D16" s="29"/>
      <c r="E16" s="29"/>
      <c r="F16" s="29"/>
      <c r="G16" s="30"/>
      <c r="H16" s="30"/>
      <c r="I16" s="31" t="n">
        <f aca="false">G16*H16</f>
        <v>0</v>
      </c>
      <c r="J16" s="14" t="str">
        <f aca="false">IF(I16&gt;=16,"매우높음",IF(I16&gt;=10,"높음",IF(I16&gt;=5,"보통","낮음")))</f>
        <v>낮음</v>
      </c>
      <c r="K16" s="29"/>
      <c r="L16" s="30"/>
      <c r="M16" s="30"/>
      <c r="N16" s="31" t="n">
        <f aca="false">L16*M16</f>
        <v>0</v>
      </c>
      <c r="O16" s="14" t="str">
        <f aca="false">IF(N16&gt;=16,"매우높음",IF(N16&gt;=10,"높음",IF(N16&gt;=5,"보통","낮음")))</f>
        <v>낮음</v>
      </c>
      <c r="P16" s="30"/>
      <c r="Q16" s="30"/>
      <c r="R16" s="30"/>
    </row>
    <row r="17" customFormat="false" ht="30" hidden="false" customHeight="true" outlineLevel="0" collapsed="false">
      <c r="A17" s="14" t="n">
        <v>13</v>
      </c>
      <c r="B17" s="29"/>
      <c r="C17" s="29"/>
      <c r="D17" s="29"/>
      <c r="E17" s="29"/>
      <c r="F17" s="29"/>
      <c r="G17" s="30"/>
      <c r="H17" s="30"/>
      <c r="I17" s="31" t="n">
        <f aca="false">G17*H17</f>
        <v>0</v>
      </c>
      <c r="J17" s="14" t="str">
        <f aca="false">IF(I17&gt;=16,"매우높음",IF(I17&gt;=10,"높음",IF(I17&gt;=5,"보통","낮음")))</f>
        <v>낮음</v>
      </c>
      <c r="K17" s="29"/>
      <c r="L17" s="30"/>
      <c r="M17" s="30"/>
      <c r="N17" s="31" t="n">
        <f aca="false">L17*M17</f>
        <v>0</v>
      </c>
      <c r="O17" s="14" t="str">
        <f aca="false">IF(N17&gt;=16,"매우높음",IF(N17&gt;=10,"높음",IF(N17&gt;=5,"보통","낮음")))</f>
        <v>낮음</v>
      </c>
      <c r="P17" s="30"/>
      <c r="Q17" s="30"/>
      <c r="R17" s="30"/>
    </row>
    <row r="18" customFormat="false" ht="30" hidden="false" customHeight="true" outlineLevel="0" collapsed="false">
      <c r="A18" s="14" t="n">
        <v>14</v>
      </c>
      <c r="B18" s="29"/>
      <c r="C18" s="29"/>
      <c r="D18" s="29"/>
      <c r="E18" s="29"/>
      <c r="F18" s="29"/>
      <c r="G18" s="30"/>
      <c r="H18" s="30"/>
      <c r="I18" s="31" t="n">
        <f aca="false">G18*H18</f>
        <v>0</v>
      </c>
      <c r="J18" s="14" t="str">
        <f aca="false">IF(I18&gt;=16,"매우높음",IF(I18&gt;=10,"높음",IF(I18&gt;=5,"보통","낮음")))</f>
        <v>낮음</v>
      </c>
      <c r="K18" s="29"/>
      <c r="L18" s="30"/>
      <c r="M18" s="30"/>
      <c r="N18" s="31" t="n">
        <f aca="false">L18*M18</f>
        <v>0</v>
      </c>
      <c r="O18" s="14" t="str">
        <f aca="false">IF(N18&gt;=16,"매우높음",IF(N18&gt;=10,"높음",IF(N18&gt;=5,"보통","낮음")))</f>
        <v>낮음</v>
      </c>
      <c r="P18" s="30"/>
      <c r="Q18" s="30"/>
      <c r="R18" s="30"/>
    </row>
    <row r="19" customFormat="false" ht="30" hidden="false" customHeight="true" outlineLevel="0" collapsed="false">
      <c r="A19" s="14" t="n">
        <v>15</v>
      </c>
      <c r="B19" s="29"/>
      <c r="C19" s="29"/>
      <c r="D19" s="29"/>
      <c r="E19" s="29"/>
      <c r="F19" s="29"/>
      <c r="G19" s="30"/>
      <c r="H19" s="30"/>
      <c r="I19" s="31" t="n">
        <f aca="false">G19*H19</f>
        <v>0</v>
      </c>
      <c r="J19" s="14" t="str">
        <f aca="false">IF(I19&gt;=16,"매우높음",IF(I19&gt;=10,"높음",IF(I19&gt;=5,"보통","낮음")))</f>
        <v>낮음</v>
      </c>
      <c r="K19" s="29"/>
      <c r="L19" s="30"/>
      <c r="M19" s="30"/>
      <c r="N19" s="31" t="n">
        <f aca="false">L19*M19</f>
        <v>0</v>
      </c>
      <c r="O19" s="14" t="str">
        <f aca="false">IF(N19&gt;=16,"매우높음",IF(N19&gt;=10,"높음",IF(N19&gt;=5,"보통","낮음")))</f>
        <v>낮음</v>
      </c>
      <c r="P19" s="30"/>
      <c r="Q19" s="30"/>
      <c r="R19" s="30"/>
    </row>
    <row r="20" customFormat="false" ht="30" hidden="false" customHeight="true" outlineLevel="0" collapsed="false">
      <c r="A20" s="14" t="n">
        <v>16</v>
      </c>
      <c r="B20" s="29"/>
      <c r="C20" s="29"/>
      <c r="D20" s="29"/>
      <c r="E20" s="29"/>
      <c r="F20" s="29"/>
      <c r="G20" s="30"/>
      <c r="H20" s="30"/>
      <c r="I20" s="31" t="n">
        <f aca="false">G20*H20</f>
        <v>0</v>
      </c>
      <c r="J20" s="14" t="str">
        <f aca="false">IF(I20&gt;=16,"매우높음",IF(I20&gt;=10,"높음",IF(I20&gt;=5,"보통","낮음")))</f>
        <v>낮음</v>
      </c>
      <c r="K20" s="29"/>
      <c r="L20" s="30"/>
      <c r="M20" s="30"/>
      <c r="N20" s="31" t="n">
        <f aca="false">L20*M20</f>
        <v>0</v>
      </c>
      <c r="O20" s="14" t="str">
        <f aca="false">IF(N20&gt;=16,"매우높음",IF(N20&gt;=10,"높음",IF(N20&gt;=5,"보통","낮음")))</f>
        <v>낮음</v>
      </c>
      <c r="P20" s="30"/>
      <c r="Q20" s="30"/>
      <c r="R20" s="30"/>
    </row>
    <row r="21" customFormat="false" ht="30" hidden="false" customHeight="true" outlineLevel="0" collapsed="false">
      <c r="A21" s="14" t="n">
        <v>17</v>
      </c>
      <c r="B21" s="29"/>
      <c r="C21" s="29"/>
      <c r="D21" s="29"/>
      <c r="E21" s="29"/>
      <c r="F21" s="29"/>
      <c r="G21" s="30"/>
      <c r="H21" s="30"/>
      <c r="I21" s="31" t="n">
        <f aca="false">G21*H21</f>
        <v>0</v>
      </c>
      <c r="J21" s="14" t="str">
        <f aca="false">IF(I21&gt;=16,"매우높음",IF(I21&gt;=10,"높음",IF(I21&gt;=5,"보통","낮음")))</f>
        <v>낮음</v>
      </c>
      <c r="K21" s="29"/>
      <c r="L21" s="30"/>
      <c r="M21" s="30"/>
      <c r="N21" s="31" t="n">
        <f aca="false">L21*M21</f>
        <v>0</v>
      </c>
      <c r="O21" s="14" t="str">
        <f aca="false">IF(N21&gt;=16,"매우높음",IF(N21&gt;=10,"높음",IF(N21&gt;=5,"보통","낮음")))</f>
        <v>낮음</v>
      </c>
      <c r="P21" s="30"/>
      <c r="Q21" s="30"/>
      <c r="R21" s="30"/>
    </row>
    <row r="22" customFormat="false" ht="30" hidden="false" customHeight="true" outlineLevel="0" collapsed="false">
      <c r="A22" s="14" t="n">
        <v>18</v>
      </c>
      <c r="B22" s="29"/>
      <c r="C22" s="29"/>
      <c r="D22" s="29"/>
      <c r="E22" s="29"/>
      <c r="F22" s="29"/>
      <c r="G22" s="30"/>
      <c r="H22" s="30"/>
      <c r="I22" s="31" t="n">
        <f aca="false">G22*H22</f>
        <v>0</v>
      </c>
      <c r="J22" s="14" t="str">
        <f aca="false">IF(I22&gt;=16,"매우높음",IF(I22&gt;=10,"높음",IF(I22&gt;=5,"보통","낮음")))</f>
        <v>낮음</v>
      </c>
      <c r="K22" s="29"/>
      <c r="L22" s="30"/>
      <c r="M22" s="30"/>
      <c r="N22" s="31" t="n">
        <f aca="false">L22*M22</f>
        <v>0</v>
      </c>
      <c r="O22" s="14" t="str">
        <f aca="false">IF(N22&gt;=16,"매우높음",IF(N22&gt;=10,"높음",IF(N22&gt;=5,"보통","낮음")))</f>
        <v>낮음</v>
      </c>
      <c r="P22" s="30"/>
      <c r="Q22" s="30"/>
      <c r="R22" s="30"/>
    </row>
    <row r="23" customFormat="false" ht="30" hidden="false" customHeight="true" outlineLevel="0" collapsed="false">
      <c r="A23" s="14" t="n">
        <v>19</v>
      </c>
      <c r="B23" s="29"/>
      <c r="C23" s="29"/>
      <c r="D23" s="29"/>
      <c r="E23" s="29"/>
      <c r="F23" s="29"/>
      <c r="G23" s="30"/>
      <c r="H23" s="30"/>
      <c r="I23" s="31" t="n">
        <f aca="false">G23*H23</f>
        <v>0</v>
      </c>
      <c r="J23" s="14" t="str">
        <f aca="false">IF(I23&gt;=16,"매우높음",IF(I23&gt;=10,"높음",IF(I23&gt;=5,"보통","낮음")))</f>
        <v>낮음</v>
      </c>
      <c r="K23" s="29"/>
      <c r="L23" s="30"/>
      <c r="M23" s="30"/>
      <c r="N23" s="31" t="n">
        <f aca="false">L23*M23</f>
        <v>0</v>
      </c>
      <c r="O23" s="14" t="str">
        <f aca="false">IF(N23&gt;=16,"매우높음",IF(N23&gt;=10,"높음",IF(N23&gt;=5,"보통","낮음")))</f>
        <v>낮음</v>
      </c>
      <c r="P23" s="30"/>
      <c r="Q23" s="30"/>
      <c r="R23" s="30"/>
    </row>
    <row r="24" customFormat="false" ht="30" hidden="false" customHeight="true" outlineLevel="0" collapsed="false">
      <c r="A24" s="14" t="n">
        <v>20</v>
      </c>
      <c r="B24" s="29"/>
      <c r="C24" s="29"/>
      <c r="D24" s="29"/>
      <c r="E24" s="29"/>
      <c r="F24" s="29"/>
      <c r="G24" s="30"/>
      <c r="H24" s="30"/>
      <c r="I24" s="31" t="n">
        <f aca="false">G24*H24</f>
        <v>0</v>
      </c>
      <c r="J24" s="14" t="str">
        <f aca="false">IF(I24&gt;=16,"매우높음",IF(I24&gt;=10,"높음",IF(I24&gt;=5,"보통","낮음")))</f>
        <v>낮음</v>
      </c>
      <c r="K24" s="29"/>
      <c r="L24" s="30"/>
      <c r="M24" s="30"/>
      <c r="N24" s="31" t="n">
        <f aca="false">L24*M24</f>
        <v>0</v>
      </c>
      <c r="O24" s="14" t="str">
        <f aca="false">IF(N24&gt;=16,"매우높음",IF(N24&gt;=10,"높음",IF(N24&gt;=5,"보통","낮음")))</f>
        <v>낮음</v>
      </c>
      <c r="P24" s="30"/>
      <c r="Q24" s="30"/>
      <c r="R24" s="30"/>
    </row>
    <row r="26" customFormat="false" ht="13.4" hidden="false" customHeight="false" outlineLevel="0" collapsed="false">
      <c r="A26" s="10" t="s">
        <v>130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</row>
  </sheetData>
  <mergeCells count="18">
    <mergeCell ref="A1:R1"/>
    <mergeCell ref="A2:D2"/>
    <mergeCell ref="E2:J2"/>
    <mergeCell ref="K2:M2"/>
    <mergeCell ref="N2:R2"/>
    <mergeCell ref="A3:A4"/>
    <mergeCell ref="B3:B4"/>
    <mergeCell ref="C3:C4"/>
    <mergeCell ref="D3:D4"/>
    <mergeCell ref="E3:E4"/>
    <mergeCell ref="F3:F4"/>
    <mergeCell ref="G3:J3"/>
    <mergeCell ref="K3:K4"/>
    <mergeCell ref="L3:O3"/>
    <mergeCell ref="P3:P4"/>
    <mergeCell ref="Q3:Q4"/>
    <mergeCell ref="R3:R4"/>
    <mergeCell ref="A26:R26"/>
  </mergeCells>
  <conditionalFormatting sqref="I5:I24">
    <cfRule type="cellIs" priority="2" operator="greaterThanOrEqual" aboveAverage="0" equalAverage="0" bottom="0" percent="0" rank="0" text="" dxfId="0">
      <formula>16</formula>
    </cfRule>
    <cfRule type="cellIs" priority="3" operator="between" aboveAverage="0" equalAverage="0" bottom="0" percent="0" rank="0" text="" dxfId="1">
      <formula>10</formula>
      <formula>15</formula>
    </cfRule>
    <cfRule type="cellIs" priority="4" operator="between" aboveAverage="0" equalAverage="0" bottom="0" percent="0" rank="0" text="" dxfId="2">
      <formula>5</formula>
      <formula>9</formula>
    </cfRule>
    <cfRule type="cellIs" priority="5" operator="between" aboveAverage="0" equalAverage="0" bottom="0" percent="0" rank="0" text="" dxfId="3">
      <formula>1</formula>
      <formula>4</formula>
    </cfRule>
  </conditionalFormatting>
  <conditionalFormatting sqref="N5:N24">
    <cfRule type="cellIs" priority="6" operator="greaterThanOrEqual" aboveAverage="0" equalAverage="0" bottom="0" percent="0" rank="0" text="" dxfId="0">
      <formula>16</formula>
    </cfRule>
    <cfRule type="cellIs" priority="7" operator="between" aboveAverage="0" equalAverage="0" bottom="0" percent="0" rank="0" text="" dxfId="1">
      <formula>10</formula>
      <formula>15</formula>
    </cfRule>
    <cfRule type="cellIs" priority="8" operator="between" aboveAverage="0" equalAverage="0" bottom="0" percent="0" rank="0" text="" dxfId="2">
      <formula>5</formula>
      <formula>9</formula>
    </cfRule>
    <cfRule type="cellIs" priority="9" operator="between" aboveAverage="0" equalAverage="0" bottom="0" percent="0" rank="0" text="" dxfId="3">
      <formula>1</formula>
      <formula>4</formula>
    </cfRule>
  </conditionalFormatting>
  <conditionalFormatting sqref="J5:J24">
    <cfRule type="expression" priority="10" aboveAverage="0" equalAverage="0" bottom="0" percent="0" rank="0" text="" dxfId="0">
      <formula>J5="매우높음"</formula>
    </cfRule>
    <cfRule type="expression" priority="11" aboveAverage="0" equalAverage="0" bottom="0" percent="0" rank="0" text="" dxfId="1">
      <formula>J5="높음"</formula>
    </cfRule>
    <cfRule type="expression" priority="12" aboveAverage="0" equalAverage="0" bottom="0" percent="0" rank="0" text="" dxfId="2">
      <formula>J5="보통"</formula>
    </cfRule>
    <cfRule type="expression" priority="13" aboveAverage="0" equalAverage="0" bottom="0" percent="0" rank="0" text="" dxfId="3">
      <formula>J5="낮음"</formula>
    </cfRule>
  </conditionalFormatting>
  <conditionalFormatting sqref="O5:O24">
    <cfRule type="expression" priority="14" aboveAverage="0" equalAverage="0" bottom="0" percent="0" rank="0" text="" dxfId="0">
      <formula>O5="매우높음"</formula>
    </cfRule>
    <cfRule type="expression" priority="15" aboveAverage="0" equalAverage="0" bottom="0" percent="0" rank="0" text="" dxfId="1">
      <formula>O5="높음"</formula>
    </cfRule>
    <cfRule type="expression" priority="16" aboveAverage="0" equalAverage="0" bottom="0" percent="0" rank="0" text="" dxfId="2">
      <formula>O5="보통"</formula>
    </cfRule>
    <cfRule type="expression" priority="17" aboveAverage="0" equalAverage="0" bottom="0" percent="0" rank="0" text="" dxfId="3">
      <formula>O5="낮음"</formula>
    </cfRule>
  </conditionalFormatting>
  <dataValidations count="1">
    <dataValidation allowBlank="true" error="1~5 사이의 정수를 입력하세요." errorStyle="stop" errorTitle="입력 오류" operator="between" showDropDown="false" showErrorMessage="true" showInputMessage="false" sqref="G5:H24 L5:M24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6" min="5" style="0" width="8"/>
    <col collapsed="false" customWidth="true" hidden="false" outlineLevel="0" max="9" min="7" style="0" width="10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16"/>
  </cols>
  <sheetData>
    <row r="1" customFormat="false" ht="25.5" hidden="false" customHeight="true" outlineLevel="0" collapsed="false">
      <c r="A1" s="11" t="s">
        <v>131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customFormat="false" ht="24" hidden="false" customHeight="true" outlineLevel="0" collapsed="false">
      <c r="A2" s="24" t="s">
        <v>75</v>
      </c>
      <c r="B2" s="4" t="s">
        <v>76</v>
      </c>
      <c r="C2" s="4" t="s">
        <v>78</v>
      </c>
      <c r="D2" s="4" t="s">
        <v>82</v>
      </c>
      <c r="E2" s="4" t="s">
        <v>132</v>
      </c>
      <c r="F2" s="4" t="s">
        <v>133</v>
      </c>
      <c r="G2" s="4" t="s">
        <v>84</v>
      </c>
      <c r="H2" s="4" t="s">
        <v>134</v>
      </c>
      <c r="I2" s="4" t="s">
        <v>135</v>
      </c>
      <c r="J2" s="4" t="s">
        <v>136</v>
      </c>
      <c r="K2" s="4" t="s">
        <v>137</v>
      </c>
      <c r="L2" s="4" t="s">
        <v>86</v>
      </c>
    </row>
    <row r="3" customFormat="false" ht="30" hidden="false" customHeight="true" outlineLevel="0" collapsed="false">
      <c r="A3" s="28" t="n">
        <v>1</v>
      </c>
      <c r="B3" s="26" t="s">
        <v>90</v>
      </c>
      <c r="C3" s="26" t="s">
        <v>138</v>
      </c>
      <c r="D3" s="26" t="str">
        <f aca="false">위험성평가표!K5</f>
        <v>안전대 걸이시설 설치 및 착용 상태 확인,
낙하물 방지망 설치, 작업지휘자 배치</v>
      </c>
      <c r="E3" s="28" t="n">
        <f aca="false">위험성평가표!I5</f>
        <v>20</v>
      </c>
      <c r="F3" s="28" t="n">
        <f aca="false">위험성평가표!N5</f>
        <v>10</v>
      </c>
      <c r="G3" s="28" t="s">
        <v>96</v>
      </c>
      <c r="H3" s="25" t="s">
        <v>97</v>
      </c>
      <c r="I3" s="28"/>
      <c r="J3" s="28" t="s">
        <v>139</v>
      </c>
      <c r="K3" s="28"/>
      <c r="L3" s="26"/>
    </row>
    <row r="4" customFormat="false" ht="21.75" hidden="false" customHeight="true" outlineLevel="0" collapsed="false">
      <c r="A4" s="14" t="n">
        <v>2</v>
      </c>
      <c r="B4" s="29"/>
      <c r="C4" s="29"/>
      <c r="D4" s="29"/>
      <c r="E4" s="30"/>
      <c r="F4" s="30"/>
      <c r="G4" s="30"/>
      <c r="H4" s="30"/>
      <c r="I4" s="30"/>
      <c r="J4" s="30"/>
      <c r="K4" s="30"/>
      <c r="L4" s="29"/>
    </row>
    <row r="5" customFormat="false" ht="21.75" hidden="false" customHeight="true" outlineLevel="0" collapsed="false">
      <c r="A5" s="14" t="n">
        <v>3</v>
      </c>
      <c r="B5" s="29"/>
      <c r="C5" s="29"/>
      <c r="D5" s="29"/>
      <c r="E5" s="30"/>
      <c r="F5" s="30"/>
      <c r="G5" s="30"/>
      <c r="H5" s="30"/>
      <c r="I5" s="30"/>
      <c r="J5" s="30"/>
      <c r="K5" s="30"/>
      <c r="L5" s="29"/>
    </row>
    <row r="6" customFormat="false" ht="21.75" hidden="false" customHeight="true" outlineLevel="0" collapsed="false">
      <c r="A6" s="14" t="n">
        <v>4</v>
      </c>
      <c r="B6" s="29"/>
      <c r="C6" s="29"/>
      <c r="D6" s="29"/>
      <c r="E6" s="30"/>
      <c r="F6" s="30"/>
      <c r="G6" s="30"/>
      <c r="H6" s="30"/>
      <c r="I6" s="30"/>
      <c r="J6" s="30"/>
      <c r="K6" s="30"/>
      <c r="L6" s="29"/>
    </row>
    <row r="7" customFormat="false" ht="21.75" hidden="false" customHeight="true" outlineLevel="0" collapsed="false">
      <c r="A7" s="14" t="n">
        <v>5</v>
      </c>
      <c r="B7" s="29"/>
      <c r="C7" s="29"/>
      <c r="D7" s="29"/>
      <c r="E7" s="30"/>
      <c r="F7" s="30"/>
      <c r="G7" s="30"/>
      <c r="H7" s="30"/>
      <c r="I7" s="30"/>
      <c r="J7" s="30"/>
      <c r="K7" s="30"/>
      <c r="L7" s="29"/>
    </row>
    <row r="8" customFormat="false" ht="21.75" hidden="false" customHeight="true" outlineLevel="0" collapsed="false">
      <c r="A8" s="14" t="n">
        <v>6</v>
      </c>
      <c r="B8" s="29"/>
      <c r="C8" s="29"/>
      <c r="D8" s="29"/>
      <c r="E8" s="30"/>
      <c r="F8" s="30"/>
      <c r="G8" s="30"/>
      <c r="H8" s="30"/>
      <c r="I8" s="30"/>
      <c r="J8" s="30"/>
      <c r="K8" s="30"/>
      <c r="L8" s="29"/>
    </row>
    <row r="9" customFormat="false" ht="21.75" hidden="false" customHeight="true" outlineLevel="0" collapsed="false">
      <c r="A9" s="14" t="n">
        <v>7</v>
      </c>
      <c r="B9" s="29"/>
      <c r="C9" s="29"/>
      <c r="D9" s="29"/>
      <c r="E9" s="30"/>
      <c r="F9" s="30"/>
      <c r="G9" s="30"/>
      <c r="H9" s="30"/>
      <c r="I9" s="30"/>
      <c r="J9" s="30"/>
      <c r="K9" s="30"/>
      <c r="L9" s="29"/>
    </row>
    <row r="10" customFormat="false" ht="21.75" hidden="false" customHeight="true" outlineLevel="0" collapsed="false">
      <c r="A10" s="14" t="n">
        <v>8</v>
      </c>
      <c r="B10" s="29"/>
      <c r="C10" s="29"/>
      <c r="D10" s="29"/>
      <c r="E10" s="30"/>
      <c r="F10" s="30"/>
      <c r="G10" s="30"/>
      <c r="H10" s="30"/>
      <c r="I10" s="30"/>
      <c r="J10" s="30"/>
      <c r="K10" s="30"/>
      <c r="L10" s="29"/>
    </row>
    <row r="11" customFormat="false" ht="21.75" hidden="false" customHeight="true" outlineLevel="0" collapsed="false">
      <c r="A11" s="14" t="n">
        <v>9</v>
      </c>
      <c r="B11" s="29"/>
      <c r="C11" s="29"/>
      <c r="D11" s="29"/>
      <c r="E11" s="30"/>
      <c r="F11" s="30"/>
      <c r="G11" s="30"/>
      <c r="H11" s="30"/>
      <c r="I11" s="30"/>
      <c r="J11" s="30"/>
      <c r="K11" s="30"/>
      <c r="L11" s="29"/>
    </row>
    <row r="12" customFormat="false" ht="21.75" hidden="false" customHeight="true" outlineLevel="0" collapsed="false">
      <c r="A12" s="14" t="n">
        <v>10</v>
      </c>
      <c r="B12" s="29"/>
      <c r="C12" s="29"/>
      <c r="D12" s="29"/>
      <c r="E12" s="30"/>
      <c r="F12" s="30"/>
      <c r="G12" s="30"/>
      <c r="H12" s="30"/>
      <c r="I12" s="30"/>
      <c r="J12" s="30"/>
      <c r="K12" s="30"/>
      <c r="L12" s="29"/>
    </row>
    <row r="13" customFormat="false" ht="21.75" hidden="false" customHeight="true" outlineLevel="0" collapsed="false">
      <c r="A13" s="14" t="n">
        <v>11</v>
      </c>
      <c r="B13" s="29"/>
      <c r="C13" s="29"/>
      <c r="D13" s="29"/>
      <c r="E13" s="30"/>
      <c r="F13" s="30"/>
      <c r="G13" s="30"/>
      <c r="H13" s="30"/>
      <c r="I13" s="30"/>
      <c r="J13" s="30"/>
      <c r="K13" s="30"/>
      <c r="L13" s="29"/>
    </row>
    <row r="14" customFormat="false" ht="21.75" hidden="false" customHeight="true" outlineLevel="0" collapsed="false">
      <c r="A14" s="14" t="n">
        <v>12</v>
      </c>
      <c r="B14" s="29"/>
      <c r="C14" s="29"/>
      <c r="D14" s="29"/>
      <c r="E14" s="30"/>
      <c r="F14" s="30"/>
      <c r="G14" s="30"/>
      <c r="H14" s="30"/>
      <c r="I14" s="30"/>
      <c r="J14" s="30"/>
      <c r="K14" s="30"/>
      <c r="L14" s="29"/>
    </row>
    <row r="15" customFormat="false" ht="21.75" hidden="false" customHeight="true" outlineLevel="0" collapsed="false">
      <c r="A15" s="14" t="n">
        <v>13</v>
      </c>
      <c r="B15" s="29"/>
      <c r="C15" s="29"/>
      <c r="D15" s="29"/>
      <c r="E15" s="30"/>
      <c r="F15" s="30"/>
      <c r="G15" s="30"/>
      <c r="H15" s="30"/>
      <c r="I15" s="30"/>
      <c r="J15" s="30"/>
      <c r="K15" s="30"/>
      <c r="L15" s="29"/>
    </row>
    <row r="16" customFormat="false" ht="21.75" hidden="false" customHeight="true" outlineLevel="0" collapsed="false">
      <c r="A16" s="14" t="n">
        <v>14</v>
      </c>
      <c r="B16" s="29"/>
      <c r="C16" s="29"/>
      <c r="D16" s="29"/>
      <c r="E16" s="30"/>
      <c r="F16" s="30"/>
      <c r="G16" s="30"/>
      <c r="H16" s="30"/>
      <c r="I16" s="30"/>
      <c r="J16" s="30"/>
      <c r="K16" s="30"/>
      <c r="L16" s="29"/>
    </row>
    <row r="17" customFormat="false" ht="21.75" hidden="false" customHeight="true" outlineLevel="0" collapsed="false">
      <c r="A17" s="14" t="n">
        <v>15</v>
      </c>
      <c r="B17" s="29"/>
      <c r="C17" s="29"/>
      <c r="D17" s="29"/>
      <c r="E17" s="30"/>
      <c r="F17" s="30"/>
      <c r="G17" s="30"/>
      <c r="H17" s="30"/>
      <c r="I17" s="30"/>
      <c r="J17" s="30"/>
      <c r="K17" s="30"/>
      <c r="L17" s="29"/>
    </row>
    <row r="18" customFormat="false" ht="21.75" hidden="false" customHeight="true" outlineLevel="0" collapsed="false">
      <c r="A18" s="14" t="n">
        <v>16</v>
      </c>
      <c r="B18" s="29"/>
      <c r="C18" s="29"/>
      <c r="D18" s="29"/>
      <c r="E18" s="30"/>
      <c r="F18" s="30"/>
      <c r="G18" s="30"/>
      <c r="H18" s="30"/>
      <c r="I18" s="30"/>
      <c r="J18" s="30"/>
      <c r="K18" s="30"/>
      <c r="L18" s="29"/>
    </row>
    <row r="19" customFormat="false" ht="21.75" hidden="false" customHeight="true" outlineLevel="0" collapsed="false">
      <c r="A19" s="14" t="n">
        <v>17</v>
      </c>
      <c r="B19" s="29"/>
      <c r="C19" s="29"/>
      <c r="D19" s="29"/>
      <c r="E19" s="30"/>
      <c r="F19" s="30"/>
      <c r="G19" s="30"/>
      <c r="H19" s="30"/>
      <c r="I19" s="30"/>
      <c r="J19" s="30"/>
      <c r="K19" s="30"/>
      <c r="L19" s="29"/>
    </row>
    <row r="20" customFormat="false" ht="21.75" hidden="false" customHeight="true" outlineLevel="0" collapsed="false">
      <c r="A20" s="14" t="n">
        <v>18</v>
      </c>
      <c r="B20" s="29"/>
      <c r="C20" s="29"/>
      <c r="D20" s="29"/>
      <c r="E20" s="30"/>
      <c r="F20" s="30"/>
      <c r="G20" s="30"/>
      <c r="H20" s="30"/>
      <c r="I20" s="30"/>
      <c r="J20" s="30"/>
      <c r="K20" s="30"/>
      <c r="L20" s="29"/>
    </row>
    <row r="21" customFormat="false" ht="21.75" hidden="false" customHeight="true" outlineLevel="0" collapsed="false">
      <c r="A21" s="14" t="n">
        <v>19</v>
      </c>
      <c r="B21" s="29"/>
      <c r="C21" s="29"/>
      <c r="D21" s="29"/>
      <c r="E21" s="30"/>
      <c r="F21" s="30"/>
      <c r="G21" s="30"/>
      <c r="H21" s="30"/>
      <c r="I21" s="30"/>
      <c r="J21" s="30"/>
      <c r="K21" s="30"/>
      <c r="L21" s="29"/>
    </row>
    <row r="22" customFormat="false" ht="21.75" hidden="false" customHeight="true" outlineLevel="0" collapsed="false">
      <c r="A22" s="14" t="n">
        <v>20</v>
      </c>
      <c r="B22" s="29"/>
      <c r="C22" s="29"/>
      <c r="D22" s="29"/>
      <c r="E22" s="30"/>
      <c r="F22" s="30"/>
      <c r="G22" s="30"/>
      <c r="H22" s="30"/>
      <c r="I22" s="30"/>
      <c r="J22" s="30"/>
      <c r="K22" s="30"/>
      <c r="L22" s="29"/>
    </row>
    <row r="23" customFormat="false" ht="21.75" hidden="false" customHeight="true" outlineLevel="0" collapsed="false">
      <c r="A23" s="14" t="n">
        <v>21</v>
      </c>
      <c r="B23" s="29"/>
      <c r="C23" s="29"/>
      <c r="D23" s="29"/>
      <c r="E23" s="30"/>
      <c r="F23" s="30"/>
      <c r="G23" s="30"/>
      <c r="H23" s="30"/>
      <c r="I23" s="30"/>
      <c r="J23" s="30"/>
      <c r="K23" s="30"/>
      <c r="L23" s="29"/>
    </row>
    <row r="25" customFormat="false" ht="13.4" hidden="false" customHeight="false" outlineLevel="0" collapsed="false">
      <c r="A25" s="32" t="s">
        <v>140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</row>
  </sheetData>
  <mergeCells count="2">
    <mergeCell ref="A1:L1"/>
    <mergeCell ref="A25:L25"/>
  </mergeCells>
  <dataValidations count="1">
    <dataValidation allowBlank="true" errorStyle="stop" operator="between" showDropDown="false" showErrorMessage="false" showInputMessage="false" sqref="J4:J23" type="list">
      <formula1>"완료,진행중,미착수"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2026-09-07T06:04:46Z</dcterms:created>
  <dc:creator>openpyxl</dc:creator>
  <dc:description/>
  <dc:language>en-US</dc:language>
  <cp:lastModifiedBy/>
  <dcterms:modified xsi:type="dcterms:W3CDTF">2026-09-07T06:04:46Z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